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87BDA893-3A7F-461C-83A0-021DCB604261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  <sheet name="Sayfa1" sheetId="2" r:id="rId2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I742" i="1" s="1"/>
  <c r="G722" i="2"/>
  <c r="G721" i="2"/>
  <c r="G720" i="2"/>
  <c r="G719" i="2"/>
  <c r="G718" i="2"/>
  <c r="G717" i="2"/>
  <c r="G716" i="2"/>
  <c r="G715" i="2"/>
  <c r="I735" i="1" s="1"/>
  <c r="G714" i="2"/>
  <c r="G713" i="2"/>
  <c r="G712" i="2"/>
  <c r="G711" i="2"/>
  <c r="G710" i="2"/>
  <c r="G709" i="2"/>
  <c r="G708" i="2"/>
  <c r="G707" i="2"/>
  <c r="I727" i="1" s="1"/>
  <c r="G706" i="2"/>
  <c r="G705" i="2"/>
  <c r="G704" i="2"/>
  <c r="G703" i="2"/>
  <c r="G702" i="2"/>
  <c r="G701" i="2"/>
  <c r="G700" i="2"/>
  <c r="G699" i="2"/>
  <c r="I719" i="1" s="1"/>
  <c r="G698" i="2"/>
  <c r="G697" i="2"/>
  <c r="G696" i="2"/>
  <c r="G695" i="2"/>
  <c r="G694" i="2"/>
  <c r="G693" i="2"/>
  <c r="G692" i="2"/>
  <c r="G691" i="2"/>
  <c r="I714" i="1" s="1"/>
  <c r="G690" i="2"/>
  <c r="G689" i="2"/>
  <c r="G688" i="2"/>
  <c r="G687" i="2"/>
  <c r="G686" i="2"/>
  <c r="G685" i="2"/>
  <c r="G684" i="2"/>
  <c r="G683" i="2"/>
  <c r="I699" i="1" s="1"/>
  <c r="G682" i="2"/>
  <c r="G681" i="2"/>
  <c r="G680" i="2"/>
  <c r="G679" i="2"/>
  <c r="G678" i="2"/>
  <c r="G677" i="2"/>
  <c r="G676" i="2"/>
  <c r="G675" i="2"/>
  <c r="I693" i="1" s="1"/>
  <c r="G674" i="2"/>
  <c r="G673" i="2"/>
  <c r="G672" i="2"/>
  <c r="G671" i="2"/>
  <c r="G670" i="2"/>
  <c r="G669" i="2"/>
  <c r="G668" i="2"/>
  <c r="G667" i="2"/>
  <c r="I689" i="1" s="1"/>
  <c r="G666" i="2"/>
  <c r="G665" i="2"/>
  <c r="G664" i="2"/>
  <c r="G663" i="2"/>
  <c r="G662" i="2"/>
  <c r="G661" i="2"/>
  <c r="G660" i="2"/>
  <c r="G659" i="2"/>
  <c r="I675" i="1" s="1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I664" i="1" s="1"/>
  <c r="G642" i="2"/>
  <c r="G641" i="2"/>
  <c r="G640" i="2"/>
  <c r="G639" i="2"/>
  <c r="G638" i="2"/>
  <c r="G637" i="2"/>
  <c r="G636" i="2"/>
  <c r="G635" i="2"/>
  <c r="I656" i="1" s="1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I641" i="1" s="1"/>
  <c r="G618" i="2"/>
  <c r="G617" i="2"/>
  <c r="G616" i="2"/>
  <c r="G615" i="2"/>
  <c r="G614" i="2"/>
  <c r="G613" i="2"/>
  <c r="G612" i="2"/>
  <c r="G611" i="2"/>
  <c r="I633" i="1" s="1"/>
  <c r="G610" i="2"/>
  <c r="G609" i="2"/>
  <c r="G608" i="2"/>
  <c r="G607" i="2"/>
  <c r="G606" i="2"/>
  <c r="G605" i="2"/>
  <c r="G604" i="2"/>
  <c r="G603" i="2"/>
  <c r="I624" i="1" s="1"/>
  <c r="G602" i="2"/>
  <c r="G601" i="2"/>
  <c r="G600" i="2"/>
  <c r="G599" i="2"/>
  <c r="G598" i="2"/>
  <c r="G597" i="2"/>
  <c r="G596" i="2"/>
  <c r="G595" i="2"/>
  <c r="I616" i="1" s="1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I601" i="1" s="1"/>
  <c r="G578" i="2"/>
  <c r="G577" i="2"/>
  <c r="G576" i="2"/>
  <c r="G575" i="2"/>
  <c r="G574" i="2"/>
  <c r="G573" i="2"/>
  <c r="G572" i="2"/>
  <c r="G571" i="2"/>
  <c r="I593" i="1" s="1"/>
  <c r="G570" i="2"/>
  <c r="G569" i="2"/>
  <c r="G568" i="2"/>
  <c r="G567" i="2"/>
  <c r="G566" i="2"/>
  <c r="G565" i="2"/>
  <c r="G564" i="2"/>
  <c r="G563" i="2"/>
  <c r="I584" i="1" s="1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I568" i="1" s="1"/>
  <c r="G546" i="2"/>
  <c r="G545" i="2"/>
  <c r="G544" i="2"/>
  <c r="G543" i="2"/>
  <c r="G542" i="2"/>
  <c r="G541" i="2"/>
  <c r="G540" i="2"/>
  <c r="G539" i="2"/>
  <c r="I560" i="1" s="1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I545" i="1" s="1"/>
  <c r="G522" i="2"/>
  <c r="G521" i="2"/>
  <c r="G520" i="2"/>
  <c r="G519" i="2"/>
  <c r="G518" i="2"/>
  <c r="G517" i="2"/>
  <c r="G516" i="2"/>
  <c r="G515" i="2"/>
  <c r="I537" i="1" s="1"/>
  <c r="G514" i="2"/>
  <c r="G513" i="2"/>
  <c r="G512" i="2"/>
  <c r="G511" i="2"/>
  <c r="G510" i="2"/>
  <c r="G509" i="2"/>
  <c r="G508" i="2"/>
  <c r="G507" i="2"/>
  <c r="I528" i="1" s="1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I505" i="1" s="1"/>
  <c r="G482" i="2"/>
  <c r="G481" i="2"/>
  <c r="G480" i="2"/>
  <c r="G479" i="2"/>
  <c r="G478" i="2"/>
  <c r="G477" i="2"/>
  <c r="G476" i="2"/>
  <c r="G475" i="2"/>
  <c r="I496" i="1" s="1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I481" i="1" s="1"/>
  <c r="G458" i="2"/>
  <c r="G457" i="2"/>
  <c r="G456" i="2"/>
  <c r="G455" i="2"/>
  <c r="G454" i="2"/>
  <c r="G453" i="2"/>
  <c r="G452" i="2"/>
  <c r="G451" i="2"/>
  <c r="I472" i="1" s="1"/>
  <c r="G450" i="2"/>
  <c r="G449" i="2"/>
  <c r="G448" i="2"/>
  <c r="G447" i="2"/>
  <c r="G446" i="2"/>
  <c r="G445" i="2"/>
  <c r="G444" i="2"/>
  <c r="G443" i="2"/>
  <c r="I465" i="1" s="1"/>
  <c r="G442" i="2"/>
  <c r="G441" i="2"/>
  <c r="G440" i="2"/>
  <c r="G439" i="2"/>
  <c r="G438" i="2"/>
  <c r="G437" i="2"/>
  <c r="G436" i="2"/>
  <c r="G435" i="2"/>
  <c r="I457" i="1" s="1"/>
  <c r="G434" i="2"/>
  <c r="G433" i="2"/>
  <c r="G432" i="2"/>
  <c r="G431" i="2"/>
  <c r="G430" i="2"/>
  <c r="G429" i="2"/>
  <c r="G428" i="2"/>
  <c r="G427" i="2"/>
  <c r="I449" i="1" s="1"/>
  <c r="G426" i="2"/>
  <c r="G425" i="2"/>
  <c r="G424" i="2"/>
  <c r="G423" i="2"/>
  <c r="G422" i="2"/>
  <c r="G421" i="2"/>
  <c r="G420" i="2"/>
  <c r="G419" i="2"/>
  <c r="I440" i="1" s="1"/>
  <c r="G418" i="2"/>
  <c r="G417" i="2"/>
  <c r="G416" i="2"/>
  <c r="G415" i="2"/>
  <c r="G414" i="2"/>
  <c r="G413" i="2"/>
  <c r="G412" i="2"/>
  <c r="G411" i="2"/>
  <c r="I432" i="1" s="1"/>
  <c r="G410" i="2"/>
  <c r="G409" i="2"/>
  <c r="G408" i="2"/>
  <c r="G407" i="2"/>
  <c r="G406" i="2"/>
  <c r="G405" i="2"/>
  <c r="G404" i="2"/>
  <c r="G403" i="2"/>
  <c r="I424" i="1" s="1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I408" i="1" s="1"/>
  <c r="G386" i="2"/>
  <c r="G385" i="2"/>
  <c r="G384" i="2"/>
  <c r="G383" i="2"/>
  <c r="G382" i="2"/>
  <c r="G381" i="2"/>
  <c r="G380" i="2"/>
  <c r="G379" i="2"/>
  <c r="I400" i="1" s="1"/>
  <c r="G378" i="2"/>
  <c r="G377" i="2"/>
  <c r="G376" i="2"/>
  <c r="G375" i="2"/>
  <c r="G374" i="2"/>
  <c r="G373" i="2"/>
  <c r="G372" i="2"/>
  <c r="G371" i="2"/>
  <c r="I392" i="1" s="1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I377" i="1" s="1"/>
  <c r="G354" i="2"/>
  <c r="G353" i="2"/>
  <c r="G352" i="2"/>
  <c r="G351" i="2"/>
  <c r="G350" i="2"/>
  <c r="G349" i="2"/>
  <c r="G348" i="2"/>
  <c r="G347" i="2"/>
  <c r="I369" i="1" s="1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I345" i="1" s="1"/>
  <c r="G322" i="2"/>
  <c r="G321" i="2"/>
  <c r="G320" i="2"/>
  <c r="G319" i="2"/>
  <c r="G318" i="2"/>
  <c r="G317" i="2"/>
  <c r="G316" i="2"/>
  <c r="G315" i="2"/>
  <c r="I337" i="1" s="1"/>
  <c r="G314" i="2"/>
  <c r="G313" i="2"/>
  <c r="G312" i="2"/>
  <c r="G311" i="2"/>
  <c r="G310" i="2"/>
  <c r="G309" i="2"/>
  <c r="G308" i="2"/>
  <c r="G307" i="2"/>
  <c r="I328" i="1" s="1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I313" i="1" s="1"/>
  <c r="G290" i="2"/>
  <c r="G289" i="2"/>
  <c r="G288" i="2"/>
  <c r="G287" i="2"/>
  <c r="G286" i="2"/>
  <c r="G285" i="2"/>
  <c r="G284" i="2"/>
  <c r="G283" i="2"/>
  <c r="I304" i="1" s="1"/>
  <c r="G282" i="2"/>
  <c r="G281" i="2"/>
  <c r="G280" i="2"/>
  <c r="G279" i="2"/>
  <c r="G278" i="2"/>
  <c r="G277" i="2"/>
  <c r="G276" i="2"/>
  <c r="G275" i="2"/>
  <c r="I296" i="1" s="1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I280" i="1" s="1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I264" i="1" s="1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I248" i="1" s="1"/>
  <c r="G225" i="2"/>
  <c r="G224" i="2"/>
  <c r="G223" i="2"/>
  <c r="G222" i="2"/>
  <c r="G221" i="2"/>
  <c r="G220" i="2"/>
  <c r="G219" i="2"/>
  <c r="G218" i="2"/>
  <c r="I240" i="1" s="1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I225" i="1" s="1"/>
  <c r="G201" i="2"/>
  <c r="G200" i="2"/>
  <c r="G199" i="2"/>
  <c r="G198" i="2"/>
  <c r="G197" i="2"/>
  <c r="G196" i="2"/>
  <c r="G195" i="2"/>
  <c r="I217" i="1" s="1"/>
  <c r="G194" i="2"/>
  <c r="G193" i="2"/>
  <c r="G192" i="2"/>
  <c r="G191" i="2"/>
  <c r="G190" i="2"/>
  <c r="G189" i="2"/>
  <c r="G188" i="2"/>
  <c r="G187" i="2"/>
  <c r="I208" i="1" s="1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I185" i="1" s="1"/>
  <c r="G161" i="2"/>
  <c r="G160" i="2"/>
  <c r="G159" i="2"/>
  <c r="G158" i="2"/>
  <c r="G157" i="2"/>
  <c r="G156" i="2"/>
  <c r="G155" i="2"/>
  <c r="G154" i="2"/>
  <c r="I176" i="1" s="1"/>
  <c r="G153" i="2"/>
  <c r="G152" i="2"/>
  <c r="G151" i="2"/>
  <c r="G150" i="2"/>
  <c r="G149" i="2"/>
  <c r="G148" i="2"/>
  <c r="G147" i="2"/>
  <c r="G146" i="2"/>
  <c r="I168" i="1" s="1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I152" i="1" s="1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I136" i="1" s="1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I121" i="1" s="1"/>
  <c r="G98" i="2"/>
  <c r="G97" i="2"/>
  <c r="G96" i="2"/>
  <c r="G95" i="2"/>
  <c r="G94" i="2"/>
  <c r="G93" i="2"/>
  <c r="G92" i="2"/>
  <c r="G91" i="2"/>
  <c r="I111" i="1" s="1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I79" i="1" s="1"/>
  <c r="G57" i="2"/>
  <c r="G56" i="2"/>
  <c r="G55" i="2"/>
  <c r="G54" i="2"/>
  <c r="G53" i="2"/>
  <c r="G52" i="2"/>
  <c r="G51" i="2"/>
  <c r="I71" i="1" s="1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I57" i="1" s="1"/>
  <c r="G33" i="2"/>
  <c r="G32" i="2"/>
  <c r="G31" i="2"/>
  <c r="G30" i="2"/>
  <c r="G29" i="2"/>
  <c r="G28" i="2"/>
  <c r="G27" i="2"/>
  <c r="G26" i="2"/>
  <c r="I49" i="1" s="1"/>
  <c r="G25" i="2"/>
  <c r="G24" i="2"/>
  <c r="G23" i="2"/>
  <c r="G22" i="2"/>
  <c r="G21" i="2"/>
  <c r="G20" i="2"/>
  <c r="G19" i="2"/>
  <c r="G18" i="2"/>
  <c r="I41" i="1" s="1"/>
  <c r="G17" i="2"/>
  <c r="G16" i="2"/>
  <c r="G15" i="2"/>
  <c r="G14" i="2"/>
  <c r="G13" i="2"/>
  <c r="G12" i="2"/>
  <c r="G11" i="2"/>
  <c r="G10" i="2"/>
  <c r="I33" i="1" s="1"/>
  <c r="G9" i="2"/>
  <c r="G8" i="2"/>
  <c r="G7" i="2"/>
  <c r="G6" i="2"/>
  <c r="G5" i="2"/>
  <c r="G4" i="2"/>
  <c r="G3" i="2"/>
  <c r="G2" i="2"/>
  <c r="I25" i="1" s="1"/>
  <c r="I88" i="1"/>
  <c r="I193" i="1"/>
  <c r="I272" i="1"/>
  <c r="I360" i="1"/>
  <c r="I441" i="1"/>
  <c r="I520" i="1"/>
  <c r="I600" i="1"/>
  <c r="I673" i="1"/>
  <c r="I710" i="1"/>
  <c r="I738" i="1"/>
  <c r="I1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2" i="1"/>
  <c r="I743" i="1" l="1"/>
  <c r="I718" i="1"/>
  <c r="I688" i="1"/>
  <c r="I281" i="1"/>
  <c r="I730" i="1"/>
  <c r="I711" i="1"/>
  <c r="I706" i="1"/>
  <c r="I665" i="1"/>
  <c r="I249" i="1"/>
  <c r="I726" i="1"/>
  <c r="I701" i="1"/>
  <c r="I569" i="1"/>
  <c r="I473" i="1"/>
  <c r="I409" i="1"/>
  <c r="I153" i="1"/>
  <c r="I722" i="1"/>
  <c r="I734" i="1"/>
  <c r="I56" i="1"/>
  <c r="I145" i="1"/>
  <c r="I353" i="1"/>
  <c r="I725" i="1"/>
  <c r="I42" i="1"/>
  <c r="I90" i="1"/>
  <c r="I138" i="1"/>
  <c r="I178" i="1"/>
  <c r="I218" i="1"/>
  <c r="I258" i="1"/>
  <c r="I290" i="1"/>
  <c r="I330" i="1"/>
  <c r="I378" i="1"/>
  <c r="I410" i="1"/>
  <c r="I426" i="1"/>
  <c r="I466" i="1"/>
  <c r="I506" i="1"/>
  <c r="I530" i="1"/>
  <c r="I546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82" i="1"/>
  <c r="I698" i="1"/>
  <c r="I740" i="1"/>
  <c r="I732" i="1"/>
  <c r="I724" i="1"/>
  <c r="I716" i="1"/>
  <c r="I708" i="1"/>
  <c r="I683" i="1"/>
  <c r="I657" i="1"/>
  <c r="I625" i="1"/>
  <c r="I561" i="1"/>
  <c r="I529" i="1"/>
  <c r="I497" i="1"/>
  <c r="I433" i="1"/>
  <c r="I401" i="1"/>
  <c r="I305" i="1"/>
  <c r="I273" i="1"/>
  <c r="I241" i="1"/>
  <c r="I209" i="1"/>
  <c r="I177" i="1"/>
  <c r="I112" i="1"/>
  <c r="I80" i="1"/>
  <c r="I48" i="1"/>
  <c r="I65" i="1"/>
  <c r="I59" i="1"/>
  <c r="I60" i="1"/>
  <c r="I61" i="1"/>
  <c r="I62" i="1"/>
  <c r="I89" i="1"/>
  <c r="I83" i="1"/>
  <c r="I84" i="1"/>
  <c r="I85" i="1"/>
  <c r="I86" i="1"/>
  <c r="I105" i="1"/>
  <c r="I99" i="1"/>
  <c r="I100" i="1"/>
  <c r="I101" i="1"/>
  <c r="I102" i="1"/>
  <c r="I139" i="1"/>
  <c r="I140" i="1"/>
  <c r="I141" i="1"/>
  <c r="I142" i="1"/>
  <c r="I143" i="1"/>
  <c r="I155" i="1"/>
  <c r="I156" i="1"/>
  <c r="I157" i="1"/>
  <c r="I158" i="1"/>
  <c r="I159" i="1"/>
  <c r="I195" i="1"/>
  <c r="I196" i="1"/>
  <c r="I197" i="1"/>
  <c r="I198" i="1"/>
  <c r="I199" i="1"/>
  <c r="I227" i="1"/>
  <c r="I228" i="1"/>
  <c r="I229" i="1"/>
  <c r="I230" i="1"/>
  <c r="I231" i="1"/>
  <c r="I251" i="1"/>
  <c r="I252" i="1"/>
  <c r="I253" i="1"/>
  <c r="I254" i="1"/>
  <c r="I255" i="1"/>
  <c r="I275" i="1"/>
  <c r="I276" i="1"/>
  <c r="I277" i="1"/>
  <c r="I278" i="1"/>
  <c r="I279" i="1"/>
  <c r="I307" i="1"/>
  <c r="I308" i="1"/>
  <c r="I309" i="1"/>
  <c r="I310" i="1"/>
  <c r="I311" i="1"/>
  <c r="I331" i="1"/>
  <c r="I332" i="1"/>
  <c r="I333" i="1"/>
  <c r="I334" i="1"/>
  <c r="I335" i="1"/>
  <c r="I363" i="1"/>
  <c r="I364" i="1"/>
  <c r="I365" i="1"/>
  <c r="I366" i="1"/>
  <c r="I367" i="1"/>
  <c r="I379" i="1"/>
  <c r="I380" i="1"/>
  <c r="I381" i="1"/>
  <c r="I382" i="1"/>
  <c r="I383" i="1"/>
  <c r="I411" i="1"/>
  <c r="I412" i="1"/>
  <c r="I413" i="1"/>
  <c r="I414" i="1"/>
  <c r="I415" i="1"/>
  <c r="I435" i="1"/>
  <c r="I436" i="1"/>
  <c r="I437" i="1"/>
  <c r="I438" i="1"/>
  <c r="I439" i="1"/>
  <c r="I459" i="1"/>
  <c r="I460" i="1"/>
  <c r="I461" i="1"/>
  <c r="I462" i="1"/>
  <c r="I463" i="1"/>
  <c r="I483" i="1"/>
  <c r="I484" i="1"/>
  <c r="I485" i="1"/>
  <c r="I486" i="1"/>
  <c r="I487" i="1"/>
  <c r="I499" i="1"/>
  <c r="I500" i="1"/>
  <c r="I501" i="1"/>
  <c r="I502" i="1"/>
  <c r="I503" i="1"/>
  <c r="I531" i="1"/>
  <c r="I532" i="1"/>
  <c r="I533" i="1"/>
  <c r="I534" i="1"/>
  <c r="I535" i="1"/>
  <c r="I547" i="1"/>
  <c r="I548" i="1"/>
  <c r="I549" i="1"/>
  <c r="I550" i="1"/>
  <c r="I551" i="1"/>
  <c r="I571" i="1"/>
  <c r="I572" i="1"/>
  <c r="I573" i="1"/>
  <c r="I574" i="1"/>
  <c r="I575" i="1"/>
  <c r="I587" i="1"/>
  <c r="I588" i="1"/>
  <c r="I589" i="1"/>
  <c r="I590" i="1"/>
  <c r="I591" i="1"/>
  <c r="I603" i="1"/>
  <c r="I604" i="1"/>
  <c r="I605" i="1"/>
  <c r="I606" i="1"/>
  <c r="I607" i="1"/>
  <c r="I627" i="1"/>
  <c r="I628" i="1"/>
  <c r="I629" i="1"/>
  <c r="I630" i="1"/>
  <c r="I631" i="1"/>
  <c r="I643" i="1"/>
  <c r="I644" i="1"/>
  <c r="I645" i="1"/>
  <c r="I646" i="1"/>
  <c r="I647" i="1"/>
  <c r="I659" i="1"/>
  <c r="I660" i="1"/>
  <c r="I661" i="1"/>
  <c r="I662" i="1"/>
  <c r="I663" i="1"/>
  <c r="I703" i="1"/>
  <c r="I717" i="1"/>
  <c r="I87" i="1"/>
  <c r="I50" i="1"/>
  <c r="I82" i="1"/>
  <c r="I114" i="1"/>
  <c r="I154" i="1"/>
  <c r="I194" i="1"/>
  <c r="I234" i="1"/>
  <c r="I282" i="1"/>
  <c r="I322" i="1"/>
  <c r="I354" i="1"/>
  <c r="I386" i="1"/>
  <c r="I450" i="1"/>
  <c r="I498" i="1"/>
  <c r="I690" i="1"/>
  <c r="I739" i="1"/>
  <c r="I731" i="1"/>
  <c r="I723" i="1"/>
  <c r="I715" i="1"/>
  <c r="I707" i="1"/>
  <c r="I697" i="1"/>
  <c r="I681" i="1"/>
  <c r="I592" i="1"/>
  <c r="I464" i="1"/>
  <c r="I368" i="1"/>
  <c r="I336" i="1"/>
  <c r="I144" i="1"/>
  <c r="I47" i="1"/>
  <c r="I115" i="1"/>
  <c r="I116" i="1"/>
  <c r="I117" i="1"/>
  <c r="I118" i="1"/>
  <c r="I119" i="1"/>
  <c r="I203" i="1"/>
  <c r="I204" i="1"/>
  <c r="I205" i="1"/>
  <c r="I206" i="1"/>
  <c r="I207" i="1"/>
  <c r="I299" i="1"/>
  <c r="I300" i="1"/>
  <c r="I301" i="1"/>
  <c r="I302" i="1"/>
  <c r="I303" i="1"/>
  <c r="I427" i="1"/>
  <c r="I428" i="1"/>
  <c r="I429" i="1"/>
  <c r="I430" i="1"/>
  <c r="I431" i="1"/>
  <c r="I26" i="1"/>
  <c r="I482" i="1"/>
  <c r="I696" i="1"/>
  <c r="I680" i="1"/>
  <c r="I649" i="1"/>
  <c r="I617" i="1"/>
  <c r="I585" i="1"/>
  <c r="I553" i="1"/>
  <c r="I521" i="1"/>
  <c r="I489" i="1"/>
  <c r="I425" i="1"/>
  <c r="I393" i="1"/>
  <c r="I361" i="1"/>
  <c r="I329" i="1"/>
  <c r="I297" i="1"/>
  <c r="I265" i="1"/>
  <c r="I233" i="1"/>
  <c r="I201" i="1"/>
  <c r="I169" i="1"/>
  <c r="I137" i="1"/>
  <c r="I104" i="1"/>
  <c r="I72" i="1"/>
  <c r="I40" i="1"/>
  <c r="I81" i="1"/>
  <c r="I75" i="1"/>
  <c r="I76" i="1"/>
  <c r="I77" i="1"/>
  <c r="I78" i="1"/>
  <c r="I123" i="1"/>
  <c r="I124" i="1"/>
  <c r="I125" i="1"/>
  <c r="I126" i="1"/>
  <c r="I127" i="1"/>
  <c r="I179" i="1"/>
  <c r="I180" i="1"/>
  <c r="I181" i="1"/>
  <c r="I182" i="1"/>
  <c r="I183" i="1"/>
  <c r="I235" i="1"/>
  <c r="I236" i="1"/>
  <c r="I237" i="1"/>
  <c r="I238" i="1"/>
  <c r="I239" i="1"/>
  <c r="I283" i="1"/>
  <c r="I284" i="1"/>
  <c r="I285" i="1"/>
  <c r="I286" i="1"/>
  <c r="I287" i="1"/>
  <c r="I339" i="1"/>
  <c r="I340" i="1"/>
  <c r="I341" i="1"/>
  <c r="I342" i="1"/>
  <c r="I343" i="1"/>
  <c r="I395" i="1"/>
  <c r="I396" i="1"/>
  <c r="I397" i="1"/>
  <c r="I398" i="1"/>
  <c r="I399" i="1"/>
  <c r="I451" i="1"/>
  <c r="I452" i="1"/>
  <c r="I453" i="1"/>
  <c r="I454" i="1"/>
  <c r="I455" i="1"/>
  <c r="I523" i="1"/>
  <c r="I524" i="1"/>
  <c r="I525" i="1"/>
  <c r="I526" i="1"/>
  <c r="I527" i="1"/>
  <c r="I709" i="1"/>
  <c r="I632" i="1"/>
  <c r="I344" i="1"/>
  <c r="I34" i="1"/>
  <c r="I74" i="1"/>
  <c r="I130" i="1"/>
  <c r="I170" i="1"/>
  <c r="I210" i="1"/>
  <c r="I250" i="1"/>
  <c r="I298" i="1"/>
  <c r="I338" i="1"/>
  <c r="I370" i="1"/>
  <c r="I402" i="1"/>
  <c r="I434" i="1"/>
  <c r="I474" i="1"/>
  <c r="I514" i="1"/>
  <c r="I538" i="1"/>
  <c r="I554" i="1"/>
  <c r="I745" i="1"/>
  <c r="I737" i="1"/>
  <c r="I729" i="1"/>
  <c r="I721" i="1"/>
  <c r="I713" i="1"/>
  <c r="I705" i="1"/>
  <c r="I694" i="1"/>
  <c r="I648" i="1"/>
  <c r="I552" i="1"/>
  <c r="I488" i="1"/>
  <c r="I456" i="1"/>
  <c r="I232" i="1"/>
  <c r="I200" i="1"/>
  <c r="I103" i="1"/>
  <c r="I39" i="1"/>
  <c r="I97" i="1"/>
  <c r="I91" i="1"/>
  <c r="I92" i="1"/>
  <c r="I93" i="1"/>
  <c r="I94" i="1"/>
  <c r="I131" i="1"/>
  <c r="I132" i="1"/>
  <c r="I133" i="1"/>
  <c r="I134" i="1"/>
  <c r="I135" i="1"/>
  <c r="I171" i="1"/>
  <c r="I172" i="1"/>
  <c r="I173" i="1"/>
  <c r="I174" i="1"/>
  <c r="I175" i="1"/>
  <c r="I211" i="1"/>
  <c r="I212" i="1"/>
  <c r="I213" i="1"/>
  <c r="I214" i="1"/>
  <c r="I215" i="1"/>
  <c r="I259" i="1"/>
  <c r="I260" i="1"/>
  <c r="I261" i="1"/>
  <c r="I262" i="1"/>
  <c r="I263" i="1"/>
  <c r="I315" i="1"/>
  <c r="I316" i="1"/>
  <c r="I317" i="1"/>
  <c r="I318" i="1"/>
  <c r="I319" i="1"/>
  <c r="I355" i="1"/>
  <c r="I356" i="1"/>
  <c r="I357" i="1"/>
  <c r="I358" i="1"/>
  <c r="I359" i="1"/>
  <c r="I387" i="1"/>
  <c r="I388" i="1"/>
  <c r="I389" i="1"/>
  <c r="I390" i="1"/>
  <c r="I391" i="1"/>
  <c r="I419" i="1"/>
  <c r="I420" i="1"/>
  <c r="I421" i="1"/>
  <c r="I422" i="1"/>
  <c r="I423" i="1"/>
  <c r="I467" i="1"/>
  <c r="I468" i="1"/>
  <c r="I469" i="1"/>
  <c r="I470" i="1"/>
  <c r="I471" i="1"/>
  <c r="I507" i="1"/>
  <c r="I508" i="1"/>
  <c r="I509" i="1"/>
  <c r="I510" i="1"/>
  <c r="I511" i="1"/>
  <c r="I555" i="1"/>
  <c r="I556" i="1"/>
  <c r="I557" i="1"/>
  <c r="I558" i="1"/>
  <c r="I559" i="1"/>
  <c r="I611" i="1"/>
  <c r="I612" i="1"/>
  <c r="I613" i="1"/>
  <c r="I614" i="1"/>
  <c r="I615" i="1"/>
  <c r="I733" i="1"/>
  <c r="I504" i="1"/>
  <c r="I312" i="1"/>
  <c r="I120" i="1"/>
  <c r="I58" i="1"/>
  <c r="I106" i="1"/>
  <c r="I146" i="1"/>
  <c r="I186" i="1"/>
  <c r="I226" i="1"/>
  <c r="I266" i="1"/>
  <c r="I314" i="1"/>
  <c r="I362" i="1"/>
  <c r="I418" i="1"/>
  <c r="I458" i="1"/>
  <c r="I522" i="1"/>
  <c r="I744" i="1"/>
  <c r="I736" i="1"/>
  <c r="I728" i="1"/>
  <c r="I720" i="1"/>
  <c r="I712" i="1"/>
  <c r="I704" i="1"/>
  <c r="I609" i="1"/>
  <c r="I577" i="1"/>
  <c r="I513" i="1"/>
  <c r="I417" i="1"/>
  <c r="I385" i="1"/>
  <c r="I321" i="1"/>
  <c r="I289" i="1"/>
  <c r="I257" i="1"/>
  <c r="I161" i="1"/>
  <c r="I129" i="1"/>
  <c r="I96" i="1"/>
  <c r="I64" i="1"/>
  <c r="I32" i="1"/>
  <c r="I73" i="1"/>
  <c r="I67" i="1"/>
  <c r="I68" i="1"/>
  <c r="I69" i="1"/>
  <c r="I70" i="1"/>
  <c r="I113" i="1"/>
  <c r="I107" i="1"/>
  <c r="I108" i="1"/>
  <c r="I109" i="1"/>
  <c r="I110" i="1"/>
  <c r="I147" i="1"/>
  <c r="I148" i="1"/>
  <c r="I149" i="1"/>
  <c r="I150" i="1"/>
  <c r="I151" i="1"/>
  <c r="I163" i="1"/>
  <c r="I164" i="1"/>
  <c r="I165" i="1"/>
  <c r="I166" i="1"/>
  <c r="I167" i="1"/>
  <c r="I187" i="1"/>
  <c r="I188" i="1"/>
  <c r="I189" i="1"/>
  <c r="I190" i="1"/>
  <c r="I191" i="1"/>
  <c r="I219" i="1"/>
  <c r="I220" i="1"/>
  <c r="I221" i="1"/>
  <c r="I222" i="1"/>
  <c r="I223" i="1"/>
  <c r="I243" i="1"/>
  <c r="I244" i="1"/>
  <c r="I245" i="1"/>
  <c r="I246" i="1"/>
  <c r="I247" i="1"/>
  <c r="I267" i="1"/>
  <c r="I268" i="1"/>
  <c r="I269" i="1"/>
  <c r="I270" i="1"/>
  <c r="I271" i="1"/>
  <c r="I291" i="1"/>
  <c r="I292" i="1"/>
  <c r="I293" i="1"/>
  <c r="I294" i="1"/>
  <c r="I295" i="1"/>
  <c r="I323" i="1"/>
  <c r="I324" i="1"/>
  <c r="I325" i="1"/>
  <c r="I326" i="1"/>
  <c r="I327" i="1"/>
  <c r="I347" i="1"/>
  <c r="I348" i="1"/>
  <c r="I349" i="1"/>
  <c r="I350" i="1"/>
  <c r="I351" i="1"/>
  <c r="I371" i="1"/>
  <c r="I372" i="1"/>
  <c r="I373" i="1"/>
  <c r="I374" i="1"/>
  <c r="I375" i="1"/>
  <c r="I403" i="1"/>
  <c r="I404" i="1"/>
  <c r="I405" i="1"/>
  <c r="I406" i="1"/>
  <c r="I407" i="1"/>
  <c r="I443" i="1"/>
  <c r="I444" i="1"/>
  <c r="I445" i="1"/>
  <c r="I446" i="1"/>
  <c r="I447" i="1"/>
  <c r="I475" i="1"/>
  <c r="I476" i="1"/>
  <c r="I477" i="1"/>
  <c r="I478" i="1"/>
  <c r="I479" i="1"/>
  <c r="I491" i="1"/>
  <c r="I492" i="1"/>
  <c r="I493" i="1"/>
  <c r="I494" i="1"/>
  <c r="I495" i="1"/>
  <c r="I515" i="1"/>
  <c r="I516" i="1"/>
  <c r="I517" i="1"/>
  <c r="I518" i="1"/>
  <c r="I519" i="1"/>
  <c r="I539" i="1"/>
  <c r="I540" i="1"/>
  <c r="I541" i="1"/>
  <c r="I542" i="1"/>
  <c r="I543" i="1"/>
  <c r="I563" i="1"/>
  <c r="I564" i="1"/>
  <c r="I565" i="1"/>
  <c r="I566" i="1"/>
  <c r="I567" i="1"/>
  <c r="I579" i="1"/>
  <c r="I580" i="1"/>
  <c r="I581" i="1"/>
  <c r="I582" i="1"/>
  <c r="I583" i="1"/>
  <c r="I595" i="1"/>
  <c r="I596" i="1"/>
  <c r="I597" i="1"/>
  <c r="I598" i="1"/>
  <c r="I599" i="1"/>
  <c r="I619" i="1"/>
  <c r="I620" i="1"/>
  <c r="I621" i="1"/>
  <c r="I622" i="1"/>
  <c r="I623" i="1"/>
  <c r="I635" i="1"/>
  <c r="I636" i="1"/>
  <c r="I637" i="1"/>
  <c r="I638" i="1"/>
  <c r="I639" i="1"/>
  <c r="I651" i="1"/>
  <c r="I652" i="1"/>
  <c r="I653" i="1"/>
  <c r="I654" i="1"/>
  <c r="I655" i="1"/>
  <c r="I667" i="1"/>
  <c r="I668" i="1"/>
  <c r="I669" i="1"/>
  <c r="I670" i="1"/>
  <c r="I671" i="1"/>
  <c r="I676" i="1"/>
  <c r="I677" i="1"/>
  <c r="I678" i="1"/>
  <c r="I679" i="1"/>
  <c r="I684" i="1"/>
  <c r="I685" i="1"/>
  <c r="I686" i="1"/>
  <c r="I687" i="1"/>
  <c r="I692" i="1"/>
  <c r="I695" i="1"/>
  <c r="I741" i="1"/>
  <c r="I700" i="1"/>
  <c r="I536" i="1"/>
  <c r="I376" i="1"/>
  <c r="I216" i="1"/>
  <c r="I55" i="1"/>
  <c r="I66" i="1"/>
  <c r="I98" i="1"/>
  <c r="I122" i="1"/>
  <c r="I162" i="1"/>
  <c r="I202" i="1"/>
  <c r="I242" i="1"/>
  <c r="I274" i="1"/>
  <c r="I306" i="1"/>
  <c r="I346" i="1"/>
  <c r="I394" i="1"/>
  <c r="I442" i="1"/>
  <c r="I490" i="1"/>
  <c r="I674" i="1"/>
  <c r="I702" i="1"/>
  <c r="I691" i="1"/>
  <c r="I672" i="1"/>
  <c r="I640" i="1"/>
  <c r="I608" i="1"/>
  <c r="I576" i="1"/>
  <c r="I544" i="1"/>
  <c r="I512" i="1"/>
  <c r="I480" i="1"/>
  <c r="I448" i="1"/>
  <c r="I416" i="1"/>
  <c r="I384" i="1"/>
  <c r="I352" i="1"/>
  <c r="I320" i="1"/>
  <c r="I288" i="1"/>
  <c r="I256" i="1"/>
  <c r="I224" i="1"/>
  <c r="I192" i="1"/>
  <c r="I160" i="1"/>
  <c r="I128" i="1"/>
  <c r="I95" i="1"/>
  <c r="I63" i="1"/>
  <c r="I31" i="1"/>
  <c r="I27" i="1"/>
  <c r="I35" i="1"/>
  <c r="I43" i="1"/>
  <c r="I51" i="1"/>
  <c r="I54" i="1"/>
  <c r="I46" i="1"/>
  <c r="I38" i="1"/>
  <c r="I30" i="1"/>
  <c r="I53" i="1"/>
  <c r="I45" i="1"/>
  <c r="I37" i="1"/>
  <c r="I29" i="1"/>
  <c r="I52" i="1"/>
  <c r="I44" i="1"/>
  <c r="I36" i="1"/>
  <c r="I28" i="1"/>
</calcChain>
</file>

<file path=xl/sharedStrings.xml><?xml version="1.0" encoding="utf-8"?>
<sst xmlns="http://schemas.openxmlformats.org/spreadsheetml/2006/main" count="15" uniqueCount="15">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</sst>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workbookViewId="0">
      <selection activeCell="J3" sqref="J3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20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Q1" s="2"/>
      <c r="T1" s="2"/>
    </row>
    <row r="2" spans="1:20" x14ac:dyDescent="0.3">
      <c r="A2">
        <v>-118.5</v>
      </c>
      <c r="B2">
        <v>34</v>
      </c>
      <c r="C2">
        <v>2025</v>
      </c>
      <c r="D2">
        <v>1</v>
      </c>
      <c r="E2">
        <v>1</v>
      </c>
      <c r="F2">
        <f>Sayfa1!C2-273.15</f>
        <v>15.709375000000023</v>
      </c>
      <c r="G2">
        <v>61.786666870117188</v>
      </c>
      <c r="H2">
        <f>SQRT(Sayfa1!D2^2+Sayfa1!E2^2)</f>
        <v>2.7625261854538414</v>
      </c>
      <c r="I2">
        <v>0</v>
      </c>
    </row>
    <row r="3" spans="1:20" x14ac:dyDescent="0.3">
      <c r="A3">
        <v>-118.5</v>
      </c>
      <c r="B3">
        <v>34</v>
      </c>
      <c r="C3">
        <v>2025</v>
      </c>
      <c r="D3">
        <v>1</v>
      </c>
      <c r="E3">
        <v>1</v>
      </c>
      <c r="F3">
        <f>Sayfa1!C3-273.15</f>
        <v>14.440454101562523</v>
      </c>
      <c r="G3">
        <v>71.82763671875</v>
      </c>
      <c r="H3">
        <f>SQRT(Sayfa1!D3^2+Sayfa1!E3^2)</f>
        <v>2.6361586591341375</v>
      </c>
      <c r="I3">
        <v>0</v>
      </c>
    </row>
    <row r="4" spans="1:20" x14ac:dyDescent="0.3">
      <c r="A4">
        <v>-118.5</v>
      </c>
      <c r="B4">
        <v>34</v>
      </c>
      <c r="C4">
        <v>2025</v>
      </c>
      <c r="D4">
        <v>1</v>
      </c>
      <c r="E4">
        <v>1</v>
      </c>
      <c r="F4">
        <f>Sayfa1!C4-273.15</f>
        <v>14.110253906250023</v>
      </c>
      <c r="G4">
        <v>78.150115966796875</v>
      </c>
      <c r="H4">
        <f>SQRT(Sayfa1!D4^2+Sayfa1!E4^2)</f>
        <v>1.5749328215574769</v>
      </c>
      <c r="I4">
        <v>0</v>
      </c>
    </row>
    <row r="5" spans="1:20" x14ac:dyDescent="0.3">
      <c r="A5">
        <v>-118.5</v>
      </c>
      <c r="B5">
        <v>34</v>
      </c>
      <c r="C5">
        <v>2025</v>
      </c>
      <c r="D5">
        <v>1</v>
      </c>
      <c r="E5">
        <v>1</v>
      </c>
      <c r="F5">
        <f>Sayfa1!C5-273.15</f>
        <v>14.458276367187523</v>
      </c>
      <c r="G5">
        <v>79.796310424804688</v>
      </c>
      <c r="H5">
        <f>SQRT(Sayfa1!D5^2+Sayfa1!E5^2)</f>
        <v>0.32397883296763286</v>
      </c>
      <c r="I5">
        <v>0</v>
      </c>
    </row>
    <row r="6" spans="1:20" x14ac:dyDescent="0.3">
      <c r="A6">
        <v>-118.5</v>
      </c>
      <c r="B6">
        <v>34</v>
      </c>
      <c r="C6">
        <v>2025</v>
      </c>
      <c r="D6">
        <v>1</v>
      </c>
      <c r="E6">
        <v>1</v>
      </c>
      <c r="F6">
        <f>Sayfa1!C6-273.15</f>
        <v>14.605859375000023</v>
      </c>
      <c r="G6">
        <v>80.29254150390625</v>
      </c>
      <c r="H6">
        <f>SQRT(Sayfa1!D6^2+Sayfa1!E6^2)</f>
        <v>0.6110653984925517</v>
      </c>
      <c r="I6">
        <v>0</v>
      </c>
    </row>
    <row r="7" spans="1:20" x14ac:dyDescent="0.3">
      <c r="A7">
        <v>-118.5</v>
      </c>
      <c r="B7">
        <v>34</v>
      </c>
      <c r="C7">
        <v>2025</v>
      </c>
      <c r="D7">
        <v>1</v>
      </c>
      <c r="E7">
        <v>1</v>
      </c>
      <c r="F7">
        <f>Sayfa1!C7-273.15</f>
        <v>14.595727539062523</v>
      </c>
      <c r="G7">
        <v>79.994415283203125</v>
      </c>
      <c r="H7">
        <f>SQRT(Sayfa1!D7^2+Sayfa1!E7^2)</f>
        <v>0.82158482022403245</v>
      </c>
      <c r="I7">
        <v>0</v>
      </c>
    </row>
    <row r="8" spans="1:20" x14ac:dyDescent="0.3">
      <c r="A8">
        <v>-118.5</v>
      </c>
      <c r="B8">
        <v>34</v>
      </c>
      <c r="C8">
        <v>2025</v>
      </c>
      <c r="D8">
        <v>1</v>
      </c>
      <c r="E8">
        <v>1</v>
      </c>
      <c r="F8">
        <f>Sayfa1!C8-273.15</f>
        <v>14.638940429687523</v>
      </c>
      <c r="G8">
        <v>76.882369995117188</v>
      </c>
      <c r="H8">
        <f>SQRT(Sayfa1!D8^2+Sayfa1!E8^2)</f>
        <v>1.0233226182255792</v>
      </c>
      <c r="I8">
        <v>0</v>
      </c>
    </row>
    <row r="9" spans="1:20" x14ac:dyDescent="0.3">
      <c r="A9">
        <v>-118.5</v>
      </c>
      <c r="B9">
        <v>34</v>
      </c>
      <c r="C9">
        <v>2025</v>
      </c>
      <c r="D9">
        <v>1</v>
      </c>
      <c r="E9">
        <v>1</v>
      </c>
      <c r="F9">
        <f>Sayfa1!C9-273.15</f>
        <v>14.664697265625023</v>
      </c>
      <c r="G9">
        <v>75.811782836914063</v>
      </c>
      <c r="H9">
        <f>SQRT(Sayfa1!D9^2+Sayfa1!E9^2)</f>
        <v>1.2565332685914281</v>
      </c>
      <c r="I9">
        <v>0</v>
      </c>
    </row>
    <row r="10" spans="1:20" x14ac:dyDescent="0.3">
      <c r="A10">
        <v>-118.5</v>
      </c>
      <c r="B10">
        <v>34</v>
      </c>
      <c r="C10">
        <v>2025</v>
      </c>
      <c r="D10">
        <v>1</v>
      </c>
      <c r="E10">
        <v>1</v>
      </c>
      <c r="F10">
        <f>Sayfa1!C10-273.15</f>
        <v>14.809716796875023</v>
      </c>
      <c r="G10">
        <v>73.685836791992188</v>
      </c>
      <c r="H10">
        <f>SQRT(Sayfa1!D10^2+Sayfa1!E10^2)</f>
        <v>1.6968981594187804</v>
      </c>
      <c r="I10">
        <v>0</v>
      </c>
    </row>
    <row r="11" spans="1:20" x14ac:dyDescent="0.3">
      <c r="A11">
        <v>-118.5</v>
      </c>
      <c r="B11">
        <v>34</v>
      </c>
      <c r="C11">
        <v>2025</v>
      </c>
      <c r="D11">
        <v>1</v>
      </c>
      <c r="E11">
        <v>1</v>
      </c>
      <c r="F11">
        <f>Sayfa1!C11-273.15</f>
        <v>15.273095703125023</v>
      </c>
      <c r="G11">
        <v>68.483154296875</v>
      </c>
      <c r="H11">
        <f>SQRT(Sayfa1!D11^2+Sayfa1!E11^2)</f>
        <v>2.0719719042351663</v>
      </c>
      <c r="I11">
        <v>0</v>
      </c>
    </row>
    <row r="12" spans="1:20" x14ac:dyDescent="0.3">
      <c r="A12">
        <v>-118.5</v>
      </c>
      <c r="B12">
        <v>34</v>
      </c>
      <c r="C12">
        <v>2025</v>
      </c>
      <c r="D12">
        <v>1</v>
      </c>
      <c r="E12">
        <v>1</v>
      </c>
      <c r="F12">
        <f>Sayfa1!C12-273.15</f>
        <v>14.272851562500023</v>
      </c>
      <c r="G12">
        <v>71.542404174804688</v>
      </c>
      <c r="H12">
        <f>SQRT(Sayfa1!D12^2+Sayfa1!E12^2)</f>
        <v>2.1770185648233142</v>
      </c>
      <c r="I12">
        <v>0</v>
      </c>
    </row>
    <row r="13" spans="1:20" x14ac:dyDescent="0.3">
      <c r="A13">
        <v>-118.5</v>
      </c>
      <c r="B13">
        <v>34</v>
      </c>
      <c r="C13">
        <v>2025</v>
      </c>
      <c r="D13">
        <v>1</v>
      </c>
      <c r="E13">
        <v>1</v>
      </c>
      <c r="F13">
        <f>Sayfa1!C13-273.15</f>
        <v>14.667626953125023</v>
      </c>
      <c r="G13">
        <v>62.92071533203125</v>
      </c>
      <c r="H13">
        <f>SQRT(Sayfa1!D13^2+Sayfa1!E13^2)</f>
        <v>2.1564984947220234</v>
      </c>
      <c r="I13">
        <v>0</v>
      </c>
    </row>
    <row r="14" spans="1:20" x14ac:dyDescent="0.3">
      <c r="A14">
        <v>-118.5</v>
      </c>
      <c r="B14">
        <v>34</v>
      </c>
      <c r="C14">
        <v>2025</v>
      </c>
      <c r="D14">
        <v>1</v>
      </c>
      <c r="E14">
        <v>1</v>
      </c>
      <c r="F14">
        <f>Sayfa1!C14-273.15</f>
        <v>15.161523437500023</v>
      </c>
      <c r="G14">
        <v>56.918731689453125</v>
      </c>
      <c r="H14">
        <f>SQRT(Sayfa1!D14^2+Sayfa1!E14^2)</f>
        <v>1.9649581774543836</v>
      </c>
      <c r="I14">
        <v>0</v>
      </c>
    </row>
    <row r="15" spans="1:20" x14ac:dyDescent="0.3">
      <c r="A15">
        <v>-118.5</v>
      </c>
      <c r="B15">
        <v>34</v>
      </c>
      <c r="C15">
        <v>2025</v>
      </c>
      <c r="D15">
        <v>1</v>
      </c>
      <c r="E15">
        <v>1</v>
      </c>
      <c r="F15">
        <f>Sayfa1!C15-273.15</f>
        <v>15.433740234375023</v>
      </c>
      <c r="G15">
        <v>54.539077758789063</v>
      </c>
      <c r="H15">
        <f>SQRT(Sayfa1!D15^2+Sayfa1!E15^2)</f>
        <v>1.9345510562225285</v>
      </c>
      <c r="I15">
        <v>0</v>
      </c>
    </row>
    <row r="16" spans="1:20" x14ac:dyDescent="0.3">
      <c r="A16">
        <v>-118.5</v>
      </c>
      <c r="B16">
        <v>34</v>
      </c>
      <c r="C16">
        <v>2025</v>
      </c>
      <c r="D16">
        <v>1</v>
      </c>
      <c r="E16">
        <v>1</v>
      </c>
      <c r="F16">
        <f>Sayfa1!C16-273.15</f>
        <v>15.734033203125023</v>
      </c>
      <c r="G16">
        <v>56.292694091796875</v>
      </c>
      <c r="H16">
        <f>SQRT(Sayfa1!D16^2+Sayfa1!E16^2)</f>
        <v>1.7951274885460631</v>
      </c>
      <c r="I16">
        <v>0</v>
      </c>
    </row>
    <row r="17" spans="1:9" x14ac:dyDescent="0.3">
      <c r="A17">
        <v>-118.5</v>
      </c>
      <c r="B17">
        <v>34</v>
      </c>
      <c r="C17">
        <v>2025</v>
      </c>
      <c r="D17">
        <v>1</v>
      </c>
      <c r="E17">
        <v>1</v>
      </c>
      <c r="F17">
        <f>Sayfa1!C17-273.15</f>
        <v>15.874414062500023</v>
      </c>
      <c r="G17">
        <v>58.359878540039063</v>
      </c>
      <c r="H17">
        <f>SQRT(Sayfa1!D17^2+Sayfa1!E17^2)</f>
        <v>1.8466422427323419</v>
      </c>
      <c r="I17">
        <v>0</v>
      </c>
    </row>
    <row r="18" spans="1:9" x14ac:dyDescent="0.3">
      <c r="A18">
        <v>-118.5</v>
      </c>
      <c r="B18">
        <v>34</v>
      </c>
      <c r="C18">
        <v>2025</v>
      </c>
      <c r="D18">
        <v>1</v>
      </c>
      <c r="E18">
        <v>1</v>
      </c>
      <c r="F18">
        <f>Sayfa1!C18-273.15</f>
        <v>16.087548828125023</v>
      </c>
      <c r="G18">
        <v>55.368453979492188</v>
      </c>
      <c r="H18">
        <f>SQRT(Sayfa1!D18^2+Sayfa1!E18^2)</f>
        <v>1.958792632033435</v>
      </c>
      <c r="I18">
        <v>0</v>
      </c>
    </row>
    <row r="19" spans="1:9" x14ac:dyDescent="0.3">
      <c r="A19">
        <v>-118.5</v>
      </c>
      <c r="B19">
        <v>34</v>
      </c>
      <c r="C19">
        <v>2025</v>
      </c>
      <c r="D19">
        <v>1</v>
      </c>
      <c r="E19">
        <v>1</v>
      </c>
      <c r="F19">
        <f>Sayfa1!C19-273.15</f>
        <v>16.395043945312523</v>
      </c>
      <c r="G19">
        <v>46.207412719726563</v>
      </c>
      <c r="H19">
        <f>SQRT(Sayfa1!D19^2+Sayfa1!E19^2)</f>
        <v>1.607457018180688</v>
      </c>
      <c r="I19">
        <v>0</v>
      </c>
    </row>
    <row r="20" spans="1:9" x14ac:dyDescent="0.3">
      <c r="A20">
        <v>-118.5</v>
      </c>
      <c r="B20">
        <v>34</v>
      </c>
      <c r="C20">
        <v>2025</v>
      </c>
      <c r="D20">
        <v>1</v>
      </c>
      <c r="E20">
        <v>1</v>
      </c>
      <c r="F20">
        <f>Sayfa1!C20-273.15</f>
        <v>16.178247070312523</v>
      </c>
      <c r="G20">
        <v>38.020980834960938</v>
      </c>
      <c r="H20">
        <f>SQRT(Sayfa1!D20^2+Sayfa1!E20^2)</f>
        <v>0.7991314333459264</v>
      </c>
      <c r="I20">
        <v>0</v>
      </c>
    </row>
    <row r="21" spans="1:9" x14ac:dyDescent="0.3">
      <c r="A21">
        <v>-118.5</v>
      </c>
      <c r="B21">
        <v>34</v>
      </c>
      <c r="C21">
        <v>2025</v>
      </c>
      <c r="D21">
        <v>1</v>
      </c>
      <c r="E21">
        <v>1</v>
      </c>
      <c r="F21">
        <f>Sayfa1!C21-273.15</f>
        <v>17.170922851562523</v>
      </c>
      <c r="G21">
        <v>31.768753051757813</v>
      </c>
      <c r="H21">
        <f>SQRT(Sayfa1!D21^2+Sayfa1!E21^2)</f>
        <v>0.34300391825020704</v>
      </c>
      <c r="I21">
        <v>0</v>
      </c>
    </row>
    <row r="22" spans="1:9" x14ac:dyDescent="0.3">
      <c r="A22">
        <v>-118.5</v>
      </c>
      <c r="B22">
        <v>34</v>
      </c>
      <c r="C22">
        <v>2025</v>
      </c>
      <c r="D22">
        <v>1</v>
      </c>
      <c r="E22">
        <v>1</v>
      </c>
      <c r="F22">
        <f>Sayfa1!C22-273.15</f>
        <v>18.750878906250023</v>
      </c>
      <c r="G22">
        <v>30.289089202880859</v>
      </c>
      <c r="H22">
        <f>SQRT(Sayfa1!D22^2+Sayfa1!E22^2)</f>
        <v>1.1007530862716146</v>
      </c>
      <c r="I22">
        <v>0</v>
      </c>
    </row>
    <row r="23" spans="1:9" x14ac:dyDescent="0.3">
      <c r="A23">
        <v>-118.5</v>
      </c>
      <c r="B23">
        <v>34</v>
      </c>
      <c r="C23">
        <v>2025</v>
      </c>
      <c r="D23">
        <v>1</v>
      </c>
      <c r="E23">
        <v>1</v>
      </c>
      <c r="F23">
        <f>Sayfa1!C23-273.15</f>
        <v>19.633203125000023</v>
      </c>
      <c r="G23">
        <v>28.71245002746582</v>
      </c>
      <c r="H23">
        <f>SQRT(Sayfa1!D23^2+Sayfa1!E23^2)</f>
        <v>2.276556368463571</v>
      </c>
      <c r="I23">
        <v>0</v>
      </c>
    </row>
    <row r="24" spans="1:9" x14ac:dyDescent="0.3">
      <c r="A24">
        <v>-118.5</v>
      </c>
      <c r="B24">
        <v>34</v>
      </c>
      <c r="C24">
        <v>2025</v>
      </c>
      <c r="D24">
        <v>1</v>
      </c>
      <c r="E24">
        <v>1</v>
      </c>
      <c r="F24">
        <f>Sayfa1!C24-273.15</f>
        <v>17.868066406250023</v>
      </c>
      <c r="G24">
        <v>35.401744842529297</v>
      </c>
      <c r="H24">
        <f>SQRT(Sayfa1!D24^2+Sayfa1!E24^2)</f>
        <v>2.1399968674593248</v>
      </c>
      <c r="I24">
        <v>0</v>
      </c>
    </row>
    <row r="25" spans="1:9" x14ac:dyDescent="0.3">
      <c r="A25">
        <v>-118.5</v>
      </c>
      <c r="B25">
        <v>34</v>
      </c>
      <c r="C25">
        <v>2025</v>
      </c>
      <c r="D25">
        <v>1</v>
      </c>
      <c r="E25">
        <v>1</v>
      </c>
      <c r="F25">
        <f>Sayfa1!C25-273.15</f>
        <v>18.127343750000023</v>
      </c>
      <c r="G25">
        <v>35.412342071533203</v>
      </c>
      <c r="H25">
        <f>SQRT(Sayfa1!D25^2+Sayfa1!E25^2)</f>
        <v>2.1398524379610433</v>
      </c>
      <c r="I25">
        <f>SUM(Sayfa1!G2:G25)</f>
        <v>0</v>
      </c>
    </row>
    <row r="26" spans="1:9" x14ac:dyDescent="0.3">
      <c r="A26">
        <v>-118.5</v>
      </c>
      <c r="B26">
        <v>34</v>
      </c>
      <c r="C26">
        <v>2025</v>
      </c>
      <c r="D26">
        <v>1</v>
      </c>
      <c r="E26">
        <v>2</v>
      </c>
      <c r="F26">
        <f>Sayfa1!C26-273.15</f>
        <v>17.813378906250023</v>
      </c>
      <c r="G26">
        <v>39.473526000976563</v>
      </c>
      <c r="H26">
        <f>SQRT(Sayfa1!D26^2+Sayfa1!E26^2)</f>
        <v>2.2313337871010801</v>
      </c>
      <c r="I26">
        <f>SUM(Sayfa1!G3:G26)</f>
        <v>0</v>
      </c>
    </row>
    <row r="27" spans="1:9" x14ac:dyDescent="0.3">
      <c r="A27">
        <v>-118.5</v>
      </c>
      <c r="B27">
        <v>34</v>
      </c>
      <c r="C27">
        <v>2025</v>
      </c>
      <c r="D27">
        <v>1</v>
      </c>
      <c r="E27">
        <v>2</v>
      </c>
      <c r="F27">
        <f>Sayfa1!C27-273.15</f>
        <v>17.605859375000023</v>
      </c>
      <c r="G27">
        <v>44.813003540039063</v>
      </c>
      <c r="H27">
        <f>SQRT(Sayfa1!D27^2+Sayfa1!E27^2)</f>
        <v>1.4456004667797935</v>
      </c>
      <c r="I27">
        <f>SUM(Sayfa1!G4:G27)</f>
        <v>0</v>
      </c>
    </row>
    <row r="28" spans="1:9" x14ac:dyDescent="0.3">
      <c r="A28">
        <v>-118.5</v>
      </c>
      <c r="B28">
        <v>34</v>
      </c>
      <c r="C28">
        <v>2025</v>
      </c>
      <c r="D28">
        <v>1</v>
      </c>
      <c r="E28">
        <v>2</v>
      </c>
      <c r="F28">
        <f>Sayfa1!C28-273.15</f>
        <v>17.846582031250023</v>
      </c>
      <c r="G28">
        <v>47.194244384765625</v>
      </c>
      <c r="H28">
        <f>SQRT(Sayfa1!D28^2+Sayfa1!E28^2)</f>
        <v>0.63257040879606985</v>
      </c>
      <c r="I28">
        <f>SUM(Sayfa1!G5:G28)</f>
        <v>0</v>
      </c>
    </row>
    <row r="29" spans="1:9" x14ac:dyDescent="0.3">
      <c r="A29">
        <v>-118.5</v>
      </c>
      <c r="B29">
        <v>34</v>
      </c>
      <c r="C29">
        <v>2025</v>
      </c>
      <c r="D29">
        <v>1</v>
      </c>
      <c r="E29">
        <v>2</v>
      </c>
      <c r="F29">
        <f>Sayfa1!C29-273.15</f>
        <v>17.980249023437523</v>
      </c>
      <c r="G29">
        <v>48.249679565429688</v>
      </c>
      <c r="H29">
        <f>SQRT(Sayfa1!D29^2+Sayfa1!E29^2)</f>
        <v>0.76742663417347434</v>
      </c>
      <c r="I29">
        <f>SUM(Sayfa1!G6:G29)</f>
        <v>0</v>
      </c>
    </row>
    <row r="30" spans="1:9" x14ac:dyDescent="0.3">
      <c r="A30">
        <v>-118.5</v>
      </c>
      <c r="B30">
        <v>34</v>
      </c>
      <c r="C30">
        <v>2025</v>
      </c>
      <c r="D30">
        <v>1</v>
      </c>
      <c r="E30">
        <v>2</v>
      </c>
      <c r="F30">
        <f>Sayfa1!C30-273.15</f>
        <v>17.832666015625023</v>
      </c>
      <c r="G30">
        <v>48.52203369140625</v>
      </c>
      <c r="H30">
        <f>SQRT(Sayfa1!D30^2+Sayfa1!E30^2)</f>
        <v>0.85693738249134099</v>
      </c>
      <c r="I30">
        <f>SUM(Sayfa1!G7:G30)</f>
        <v>0</v>
      </c>
    </row>
    <row r="31" spans="1:9" x14ac:dyDescent="0.3">
      <c r="A31">
        <v>-118.5</v>
      </c>
      <c r="B31">
        <v>34</v>
      </c>
      <c r="C31">
        <v>2025</v>
      </c>
      <c r="D31">
        <v>1</v>
      </c>
      <c r="E31">
        <v>2</v>
      </c>
      <c r="F31">
        <f>Sayfa1!C31-273.15</f>
        <v>17.714624023437523</v>
      </c>
      <c r="G31">
        <v>49.26800537109375</v>
      </c>
      <c r="H31">
        <f>SQRT(Sayfa1!D31^2+Sayfa1!E31^2)</f>
        <v>1.1540908295751604</v>
      </c>
      <c r="I31">
        <f>SUM(Sayfa1!G8:G31)</f>
        <v>0</v>
      </c>
    </row>
    <row r="32" spans="1:9" x14ac:dyDescent="0.3">
      <c r="A32">
        <v>-118.5</v>
      </c>
      <c r="B32">
        <v>34</v>
      </c>
      <c r="C32">
        <v>2025</v>
      </c>
      <c r="D32">
        <v>1</v>
      </c>
      <c r="E32">
        <v>2</v>
      </c>
      <c r="F32">
        <f>Sayfa1!C32-273.15</f>
        <v>17.582299804687523</v>
      </c>
      <c r="G32">
        <v>51.728652954101563</v>
      </c>
      <c r="H32">
        <f>SQRT(Sayfa1!D32^2+Sayfa1!E32^2)</f>
        <v>1.3200406991788571</v>
      </c>
      <c r="I32">
        <f>SUM(Sayfa1!G9:G32)</f>
        <v>0</v>
      </c>
    </row>
    <row r="33" spans="1:9" x14ac:dyDescent="0.3">
      <c r="A33">
        <v>-118.5</v>
      </c>
      <c r="B33">
        <v>34</v>
      </c>
      <c r="C33">
        <v>2025</v>
      </c>
      <c r="D33">
        <v>1</v>
      </c>
      <c r="E33">
        <v>2</v>
      </c>
      <c r="F33">
        <f>Sayfa1!C33-273.15</f>
        <v>17.636376953125023</v>
      </c>
      <c r="G33">
        <v>54.202590942382813</v>
      </c>
      <c r="H33">
        <f>SQRT(Sayfa1!D33^2+Sayfa1!E33^2)</f>
        <v>1.4578641254892535</v>
      </c>
      <c r="I33">
        <f>SUM(Sayfa1!G10:G33)</f>
        <v>0</v>
      </c>
    </row>
    <row r="34" spans="1:9" x14ac:dyDescent="0.3">
      <c r="A34">
        <v>-118.5</v>
      </c>
      <c r="B34">
        <v>34</v>
      </c>
      <c r="C34">
        <v>2025</v>
      </c>
      <c r="D34">
        <v>1</v>
      </c>
      <c r="E34">
        <v>2</v>
      </c>
      <c r="F34">
        <f>Sayfa1!C34-273.15</f>
        <v>18.181054687500023</v>
      </c>
      <c r="G34">
        <v>54.997909545898438</v>
      </c>
      <c r="H34">
        <f>SQRT(Sayfa1!D34^2+Sayfa1!E34^2)</f>
        <v>1.6611397374870518</v>
      </c>
      <c r="I34">
        <f>SUM(Sayfa1!G11:G34)</f>
        <v>0</v>
      </c>
    </row>
    <row r="35" spans="1:9" x14ac:dyDescent="0.3">
      <c r="A35">
        <v>-118.5</v>
      </c>
      <c r="B35">
        <v>34</v>
      </c>
      <c r="C35">
        <v>2025</v>
      </c>
      <c r="D35">
        <v>1</v>
      </c>
      <c r="E35">
        <v>2</v>
      </c>
      <c r="F35">
        <f>Sayfa1!C35-273.15</f>
        <v>18.717431640625023</v>
      </c>
      <c r="G35">
        <v>54.118850708007813</v>
      </c>
      <c r="H35">
        <f>SQRT(Sayfa1!D35^2+Sayfa1!E35^2)</f>
        <v>1.4833948297469295</v>
      </c>
      <c r="I35">
        <f>SUM(Sayfa1!G12:G35)</f>
        <v>0</v>
      </c>
    </row>
    <row r="36" spans="1:9" x14ac:dyDescent="0.3">
      <c r="A36">
        <v>-118.5</v>
      </c>
      <c r="B36">
        <v>34</v>
      </c>
      <c r="C36">
        <v>2025</v>
      </c>
      <c r="D36">
        <v>1</v>
      </c>
      <c r="E36">
        <v>2</v>
      </c>
      <c r="F36">
        <f>Sayfa1!C36-273.15</f>
        <v>18.259912109375023</v>
      </c>
      <c r="G36">
        <v>49.954193115234375</v>
      </c>
      <c r="H36">
        <f>SQRT(Sayfa1!D36^2+Sayfa1!E36^2)</f>
        <v>1.9054256571605268</v>
      </c>
      <c r="I36">
        <f>SUM(Sayfa1!G13:G36)</f>
        <v>0</v>
      </c>
    </row>
    <row r="37" spans="1:9" x14ac:dyDescent="0.3">
      <c r="A37">
        <v>-118.5</v>
      </c>
      <c r="B37">
        <v>34</v>
      </c>
      <c r="C37">
        <v>2025</v>
      </c>
      <c r="D37">
        <v>1</v>
      </c>
      <c r="E37">
        <v>2</v>
      </c>
      <c r="F37">
        <f>Sayfa1!C37-273.15</f>
        <v>18.719873046875023</v>
      </c>
      <c r="G37">
        <v>45.18023681640625</v>
      </c>
      <c r="H37">
        <f>SQRT(Sayfa1!D37^2+Sayfa1!E37^2)</f>
        <v>2.2856709785475608</v>
      </c>
      <c r="I37">
        <f>SUM(Sayfa1!G14:G37)</f>
        <v>0</v>
      </c>
    </row>
    <row r="38" spans="1:9" x14ac:dyDescent="0.3">
      <c r="A38">
        <v>-118.5</v>
      </c>
      <c r="B38">
        <v>34</v>
      </c>
      <c r="C38">
        <v>2025</v>
      </c>
      <c r="D38">
        <v>1</v>
      </c>
      <c r="E38">
        <v>2</v>
      </c>
      <c r="F38">
        <f>Sayfa1!C38-273.15</f>
        <v>19.012109375000023</v>
      </c>
      <c r="G38">
        <v>43.715957641601563</v>
      </c>
      <c r="H38">
        <f>SQRT(Sayfa1!D38^2+Sayfa1!E38^2)</f>
        <v>2.3148042996889884</v>
      </c>
      <c r="I38">
        <f>SUM(Sayfa1!G15:G38)</f>
        <v>0</v>
      </c>
    </row>
    <row r="39" spans="1:9" x14ac:dyDescent="0.3">
      <c r="A39">
        <v>-118.5</v>
      </c>
      <c r="B39">
        <v>34</v>
      </c>
      <c r="C39">
        <v>2025</v>
      </c>
      <c r="D39">
        <v>1</v>
      </c>
      <c r="E39">
        <v>2</v>
      </c>
      <c r="F39">
        <f>Sayfa1!C39-273.15</f>
        <v>18.963403320312523</v>
      </c>
      <c r="G39">
        <v>44.796173095703125</v>
      </c>
      <c r="H39">
        <f>SQRT(Sayfa1!D39^2+Sayfa1!E39^2)</f>
        <v>2.455579529714115</v>
      </c>
      <c r="I39">
        <f>SUM(Sayfa1!G16:G39)</f>
        <v>0</v>
      </c>
    </row>
    <row r="40" spans="1:9" x14ac:dyDescent="0.3">
      <c r="A40">
        <v>-118.5</v>
      </c>
      <c r="B40">
        <v>34</v>
      </c>
      <c r="C40">
        <v>2025</v>
      </c>
      <c r="D40">
        <v>1</v>
      </c>
      <c r="E40">
        <v>2</v>
      </c>
      <c r="F40">
        <f>Sayfa1!C40-273.15</f>
        <v>18.641137695312523</v>
      </c>
      <c r="G40">
        <v>47.878265380859375</v>
      </c>
      <c r="H40">
        <f>SQRT(Sayfa1!D40^2+Sayfa1!E40^2)</f>
        <v>2.6324321187020709</v>
      </c>
      <c r="I40">
        <f>SUM(Sayfa1!G17:G40)</f>
        <v>0</v>
      </c>
    </row>
    <row r="41" spans="1:9" x14ac:dyDescent="0.3">
      <c r="A41">
        <v>-118.5</v>
      </c>
      <c r="B41">
        <v>34</v>
      </c>
      <c r="C41">
        <v>2025</v>
      </c>
      <c r="D41">
        <v>1</v>
      </c>
      <c r="E41">
        <v>2</v>
      </c>
      <c r="F41">
        <f>Sayfa1!C41-273.15</f>
        <v>18.430810546875023</v>
      </c>
      <c r="G41">
        <v>49.177276611328125</v>
      </c>
      <c r="H41">
        <f>SQRT(Sayfa1!D41^2+Sayfa1!E41^2)</f>
        <v>2.6250040854872121</v>
      </c>
      <c r="I41">
        <f>SUM(Sayfa1!G18:G41)</f>
        <v>0</v>
      </c>
    </row>
    <row r="42" spans="1:9" x14ac:dyDescent="0.3">
      <c r="A42">
        <v>-118.5</v>
      </c>
      <c r="B42">
        <v>34</v>
      </c>
      <c r="C42">
        <v>2025</v>
      </c>
      <c r="D42">
        <v>1</v>
      </c>
      <c r="E42">
        <v>2</v>
      </c>
      <c r="F42">
        <f>Sayfa1!C42-273.15</f>
        <v>18.336938476562523</v>
      </c>
      <c r="G42">
        <v>47.470870971679688</v>
      </c>
      <c r="H42">
        <f>SQRT(Sayfa1!D42^2+Sayfa1!E42^2)</f>
        <v>2.5066596084065087</v>
      </c>
      <c r="I42">
        <f>SUM(Sayfa1!G19:G42)</f>
        <v>0</v>
      </c>
    </row>
    <row r="43" spans="1:9" x14ac:dyDescent="0.3">
      <c r="A43">
        <v>-118.5</v>
      </c>
      <c r="B43">
        <v>34</v>
      </c>
      <c r="C43">
        <v>2025</v>
      </c>
      <c r="D43">
        <v>1</v>
      </c>
      <c r="E43">
        <v>2</v>
      </c>
      <c r="F43">
        <f>Sayfa1!C43-273.15</f>
        <v>18.621606445312523</v>
      </c>
      <c r="G43">
        <v>38.949321746826172</v>
      </c>
      <c r="H43">
        <f>SQRT(Sayfa1!D43^2+Sayfa1!E43^2)</f>
        <v>2.3714517949244951</v>
      </c>
      <c r="I43">
        <f>SUM(Sayfa1!G20:G43)</f>
        <v>0</v>
      </c>
    </row>
    <row r="44" spans="1:9" x14ac:dyDescent="0.3">
      <c r="A44">
        <v>-118.5</v>
      </c>
      <c r="B44">
        <v>34</v>
      </c>
      <c r="C44">
        <v>2025</v>
      </c>
      <c r="D44">
        <v>1</v>
      </c>
      <c r="E44">
        <v>2</v>
      </c>
      <c r="F44">
        <f>Sayfa1!C44-273.15</f>
        <v>19.130395507812523</v>
      </c>
      <c r="G44">
        <v>26.994735717773438</v>
      </c>
      <c r="H44">
        <f>SQRT(Sayfa1!D44^2+Sayfa1!E44^2)</f>
        <v>2.2977401086359022</v>
      </c>
      <c r="I44">
        <f>SUM(Sayfa1!G21:G44)</f>
        <v>0</v>
      </c>
    </row>
    <row r="45" spans="1:9" x14ac:dyDescent="0.3">
      <c r="A45">
        <v>-118.5</v>
      </c>
      <c r="B45">
        <v>34</v>
      </c>
      <c r="C45">
        <v>2025</v>
      </c>
      <c r="D45">
        <v>1</v>
      </c>
      <c r="E45">
        <v>2</v>
      </c>
      <c r="F45">
        <f>Sayfa1!C45-273.15</f>
        <v>19.835107421875023</v>
      </c>
      <c r="G45">
        <v>18.472225189208984</v>
      </c>
      <c r="H45">
        <f>SQRT(Sayfa1!D45^2+Sayfa1!E45^2)</f>
        <v>1.6911978671028887</v>
      </c>
      <c r="I45">
        <f>SUM(Sayfa1!G22:G45)</f>
        <v>0</v>
      </c>
    </row>
    <row r="46" spans="1:9" x14ac:dyDescent="0.3">
      <c r="A46">
        <v>-118.5</v>
      </c>
      <c r="B46">
        <v>34</v>
      </c>
      <c r="C46">
        <v>2025</v>
      </c>
      <c r="D46">
        <v>1</v>
      </c>
      <c r="E46">
        <v>2</v>
      </c>
      <c r="F46">
        <f>Sayfa1!C46-273.15</f>
        <v>21.872827148437523</v>
      </c>
      <c r="G46">
        <v>14.728837966918945</v>
      </c>
      <c r="H46">
        <f>SQRT(Sayfa1!D46^2+Sayfa1!E46^2)</f>
        <v>1.0271136721778791</v>
      </c>
      <c r="I46">
        <f>SUM(Sayfa1!G23:G46)</f>
        <v>0</v>
      </c>
    </row>
    <row r="47" spans="1:9" x14ac:dyDescent="0.3">
      <c r="A47">
        <v>-118.5</v>
      </c>
      <c r="B47">
        <v>34</v>
      </c>
      <c r="C47">
        <v>2025</v>
      </c>
      <c r="D47">
        <v>1</v>
      </c>
      <c r="E47">
        <v>2</v>
      </c>
      <c r="F47">
        <f>Sayfa1!C47-273.15</f>
        <v>23.053369140625023</v>
      </c>
      <c r="G47">
        <v>14.335027694702148</v>
      </c>
      <c r="H47">
        <f>SQRT(Sayfa1!D47^2+Sayfa1!E47^2)</f>
        <v>0.30139583532141556</v>
      </c>
      <c r="I47">
        <f>SUM(Sayfa1!G24:G47)</f>
        <v>0</v>
      </c>
    </row>
    <row r="48" spans="1:9" x14ac:dyDescent="0.3">
      <c r="A48">
        <v>-118.5</v>
      </c>
      <c r="B48">
        <v>34</v>
      </c>
      <c r="C48">
        <v>2025</v>
      </c>
      <c r="D48">
        <v>1</v>
      </c>
      <c r="E48">
        <v>2</v>
      </c>
      <c r="F48">
        <f>Sayfa1!C48-273.15</f>
        <v>22.611230468750023</v>
      </c>
      <c r="G48">
        <v>17.740056991577148</v>
      </c>
      <c r="H48">
        <f>SQRT(Sayfa1!D48^2+Sayfa1!E48^2)</f>
        <v>0.80571915481510648</v>
      </c>
      <c r="I48">
        <f>SUM(Sayfa1!G25:G48)</f>
        <v>0</v>
      </c>
    </row>
    <row r="49" spans="1:9" x14ac:dyDescent="0.3">
      <c r="A49">
        <v>-118.5</v>
      </c>
      <c r="B49">
        <v>34</v>
      </c>
      <c r="C49">
        <v>2025</v>
      </c>
      <c r="D49">
        <v>1</v>
      </c>
      <c r="E49">
        <v>2</v>
      </c>
      <c r="F49">
        <f>Sayfa1!C49-273.15</f>
        <v>22.695703125000023</v>
      </c>
      <c r="G49">
        <v>20.032815933227539</v>
      </c>
      <c r="H49">
        <f>SQRT(Sayfa1!D49^2+Sayfa1!E49^2)</f>
        <v>1.2699302899012335</v>
      </c>
      <c r="I49">
        <f>SUM(Sayfa1!G26:G49)</f>
        <v>0</v>
      </c>
    </row>
    <row r="50" spans="1:9" x14ac:dyDescent="0.3">
      <c r="A50">
        <v>-118.5</v>
      </c>
      <c r="B50">
        <v>34</v>
      </c>
      <c r="C50">
        <v>2025</v>
      </c>
      <c r="D50">
        <v>1</v>
      </c>
      <c r="E50">
        <v>3</v>
      </c>
      <c r="F50">
        <f>Sayfa1!C50-273.15</f>
        <v>22.272485351562523</v>
      </c>
      <c r="G50">
        <v>26.623197555541992</v>
      </c>
      <c r="H50">
        <f>SQRT(Sayfa1!D50^2+Sayfa1!E50^2)</f>
        <v>1.8506689282657951</v>
      </c>
      <c r="I50">
        <f>SUM(Sayfa1!G27:G50)</f>
        <v>0</v>
      </c>
    </row>
    <row r="51" spans="1:9" x14ac:dyDescent="0.3">
      <c r="A51">
        <v>-118.5</v>
      </c>
      <c r="B51">
        <v>34</v>
      </c>
      <c r="C51">
        <v>2025</v>
      </c>
      <c r="D51">
        <v>1</v>
      </c>
      <c r="E51">
        <v>3</v>
      </c>
      <c r="F51">
        <f>Sayfa1!C51-273.15</f>
        <v>21.556176757812523</v>
      </c>
      <c r="G51">
        <v>32.515090942382813</v>
      </c>
      <c r="H51">
        <f>SQRT(Sayfa1!D51^2+Sayfa1!E51^2)</f>
        <v>1.9717007641683695</v>
      </c>
      <c r="I51">
        <f>SUM(Sayfa1!G28:G51)</f>
        <v>0</v>
      </c>
    </row>
    <row r="52" spans="1:9" x14ac:dyDescent="0.3">
      <c r="A52">
        <v>-118.5</v>
      </c>
      <c r="B52">
        <v>34</v>
      </c>
      <c r="C52">
        <v>2025</v>
      </c>
      <c r="D52">
        <v>1</v>
      </c>
      <c r="E52">
        <v>3</v>
      </c>
      <c r="F52">
        <f>Sayfa1!C52-273.15</f>
        <v>20.743554687500023</v>
      </c>
      <c r="G52">
        <v>37.284942626953125</v>
      </c>
      <c r="H52">
        <f>SQRT(Sayfa1!D52^2+Sayfa1!E52^2)</f>
        <v>1.2965427559807503</v>
      </c>
      <c r="I52">
        <f>SUM(Sayfa1!G29:G52)</f>
        <v>0</v>
      </c>
    </row>
    <row r="53" spans="1:9" x14ac:dyDescent="0.3">
      <c r="A53">
        <v>-118.5</v>
      </c>
      <c r="B53">
        <v>34</v>
      </c>
      <c r="C53">
        <v>2025</v>
      </c>
      <c r="D53">
        <v>1</v>
      </c>
      <c r="E53">
        <v>3</v>
      </c>
      <c r="F53">
        <f>Sayfa1!C53-273.15</f>
        <v>20.006738281250023</v>
      </c>
      <c r="G53">
        <v>40.940216064453125</v>
      </c>
      <c r="H53">
        <f>SQRT(Sayfa1!D53^2+Sayfa1!E53^2)</f>
        <v>0.81612569392237488</v>
      </c>
      <c r="I53">
        <f>SUM(Sayfa1!G30:G53)</f>
        <v>0</v>
      </c>
    </row>
    <row r="54" spans="1:9" x14ac:dyDescent="0.3">
      <c r="A54">
        <v>-118.5</v>
      </c>
      <c r="B54">
        <v>34</v>
      </c>
      <c r="C54">
        <v>2025</v>
      </c>
      <c r="D54">
        <v>1</v>
      </c>
      <c r="E54">
        <v>3</v>
      </c>
      <c r="F54">
        <f>Sayfa1!C54-273.15</f>
        <v>19.324243164062523</v>
      </c>
      <c r="G54">
        <v>43.457901000976563</v>
      </c>
      <c r="H54">
        <f>SQRT(Sayfa1!D54^2+Sayfa1!E54^2)</f>
        <v>0.72884224611809523</v>
      </c>
      <c r="I54">
        <f>SUM(Sayfa1!G31:G54)</f>
        <v>0</v>
      </c>
    </row>
    <row r="55" spans="1:9" x14ac:dyDescent="0.3">
      <c r="A55">
        <v>-118.5</v>
      </c>
      <c r="B55">
        <v>34</v>
      </c>
      <c r="C55">
        <v>2025</v>
      </c>
      <c r="D55">
        <v>1</v>
      </c>
      <c r="E55">
        <v>3</v>
      </c>
      <c r="F55">
        <f>Sayfa1!C55-273.15</f>
        <v>18.567041015625023</v>
      </c>
      <c r="G55">
        <v>46.237289428710938</v>
      </c>
      <c r="H55">
        <f>SQRT(Sayfa1!D55^2+Sayfa1!E55^2)</f>
        <v>1.2381982581865343</v>
      </c>
      <c r="I55">
        <f>SUM(Sayfa1!G32:G55)</f>
        <v>0</v>
      </c>
    </row>
    <row r="56" spans="1:9" x14ac:dyDescent="0.3">
      <c r="A56">
        <v>-118.5</v>
      </c>
      <c r="B56">
        <v>34</v>
      </c>
      <c r="C56">
        <v>2025</v>
      </c>
      <c r="D56">
        <v>1</v>
      </c>
      <c r="E56">
        <v>3</v>
      </c>
      <c r="F56">
        <f>Sayfa1!C56-273.15</f>
        <v>17.839746093750023</v>
      </c>
      <c r="G56">
        <v>50.05908203125</v>
      </c>
      <c r="H56">
        <f>SQRT(Sayfa1!D56^2+Sayfa1!E56^2)</f>
        <v>1.8259256070003875</v>
      </c>
      <c r="I56">
        <f>SUM(Sayfa1!G33:G56)</f>
        <v>0</v>
      </c>
    </row>
    <row r="57" spans="1:9" x14ac:dyDescent="0.3">
      <c r="A57">
        <v>-118.5</v>
      </c>
      <c r="B57">
        <v>34</v>
      </c>
      <c r="C57">
        <v>2025</v>
      </c>
      <c r="D57">
        <v>1</v>
      </c>
      <c r="E57">
        <v>3</v>
      </c>
      <c r="F57">
        <f>Sayfa1!C57-273.15</f>
        <v>17.391625976562523</v>
      </c>
      <c r="G57">
        <v>52.297286987304688</v>
      </c>
      <c r="H57">
        <f>SQRT(Sayfa1!D57^2+Sayfa1!E57^2)</f>
        <v>2.0255278191524573</v>
      </c>
      <c r="I57">
        <f>SUM(Sayfa1!G34:G57)</f>
        <v>0</v>
      </c>
    </row>
    <row r="58" spans="1:9" x14ac:dyDescent="0.3">
      <c r="A58">
        <v>-118.5</v>
      </c>
      <c r="B58">
        <v>34</v>
      </c>
      <c r="C58">
        <v>2025</v>
      </c>
      <c r="D58">
        <v>1</v>
      </c>
      <c r="E58">
        <v>3</v>
      </c>
      <c r="F58">
        <f>Sayfa1!C58-273.15</f>
        <v>17.300439453125023</v>
      </c>
      <c r="G58">
        <v>54.443252563476563</v>
      </c>
      <c r="H58">
        <f>SQRT(Sayfa1!D58^2+Sayfa1!E58^2)</f>
        <v>1.9411488257773932</v>
      </c>
      <c r="I58">
        <f>SUM(Sayfa1!G35:G58)</f>
        <v>0</v>
      </c>
    </row>
    <row r="59" spans="1:9" x14ac:dyDescent="0.3">
      <c r="A59">
        <v>-118.5</v>
      </c>
      <c r="B59">
        <v>34</v>
      </c>
      <c r="C59">
        <v>2025</v>
      </c>
      <c r="D59">
        <v>1</v>
      </c>
      <c r="E59">
        <v>3</v>
      </c>
      <c r="F59">
        <f>Sayfa1!C59-273.15</f>
        <v>17.284326171875023</v>
      </c>
      <c r="G59">
        <v>56.0391845703125</v>
      </c>
      <c r="H59">
        <f>SQRT(Sayfa1!D59^2+Sayfa1!E59^2)</f>
        <v>1.6858234557774088</v>
      </c>
      <c r="I59">
        <f>SUM(Sayfa1!G36:G59)</f>
        <v>0</v>
      </c>
    </row>
    <row r="60" spans="1:9" x14ac:dyDescent="0.3">
      <c r="A60">
        <v>-118.5</v>
      </c>
      <c r="B60">
        <v>34</v>
      </c>
      <c r="C60">
        <v>2025</v>
      </c>
      <c r="D60">
        <v>1</v>
      </c>
      <c r="E60">
        <v>3</v>
      </c>
      <c r="F60">
        <f>Sayfa1!C60-273.15</f>
        <v>16.436425781250023</v>
      </c>
      <c r="G60">
        <v>60.658660888671875</v>
      </c>
      <c r="H60">
        <f>SQRT(Sayfa1!D60^2+Sayfa1!E60^2)</f>
        <v>1.5977584171097423</v>
      </c>
      <c r="I60">
        <f>SUM(Sayfa1!G37:G60)</f>
        <v>0</v>
      </c>
    </row>
    <row r="61" spans="1:9" x14ac:dyDescent="0.3">
      <c r="A61">
        <v>-118.5</v>
      </c>
      <c r="B61">
        <v>34</v>
      </c>
      <c r="C61">
        <v>2025</v>
      </c>
      <c r="D61">
        <v>1</v>
      </c>
      <c r="E61">
        <v>3</v>
      </c>
      <c r="F61">
        <f>Sayfa1!C61-273.15</f>
        <v>16.741113281250023</v>
      </c>
      <c r="G61">
        <v>64.061553955078125</v>
      </c>
      <c r="H61">
        <f>SQRT(Sayfa1!D61^2+Sayfa1!E61^2)</f>
        <v>1.0499704670309518</v>
      </c>
      <c r="I61">
        <f>SUM(Sayfa1!G38:G61)</f>
        <v>0</v>
      </c>
    </row>
    <row r="62" spans="1:9" x14ac:dyDescent="0.3">
      <c r="A62">
        <v>-118.5</v>
      </c>
      <c r="B62">
        <v>34</v>
      </c>
      <c r="C62">
        <v>2025</v>
      </c>
      <c r="D62">
        <v>1</v>
      </c>
      <c r="E62">
        <v>3</v>
      </c>
      <c r="F62">
        <f>Sayfa1!C62-273.15</f>
        <v>16.562646484375023</v>
      </c>
      <c r="G62">
        <v>65.893341064453125</v>
      </c>
      <c r="H62">
        <f>SQRT(Sayfa1!D62^2+Sayfa1!E62^2)</f>
        <v>1.0601542997184166</v>
      </c>
      <c r="I62">
        <f>SUM(Sayfa1!G39:G62)</f>
        <v>0</v>
      </c>
    </row>
    <row r="63" spans="1:9" x14ac:dyDescent="0.3">
      <c r="A63">
        <v>-118.5</v>
      </c>
      <c r="B63">
        <v>34</v>
      </c>
      <c r="C63">
        <v>2025</v>
      </c>
      <c r="D63">
        <v>1</v>
      </c>
      <c r="E63">
        <v>3</v>
      </c>
      <c r="F63">
        <f>Sayfa1!C63-273.15</f>
        <v>16.402246093750023</v>
      </c>
      <c r="G63">
        <v>68.190948486328125</v>
      </c>
      <c r="H63">
        <f>SQRT(Sayfa1!D63^2+Sayfa1!E63^2)</f>
        <v>1.21441580421576</v>
      </c>
      <c r="I63">
        <f>SUM(Sayfa1!G40:G63)</f>
        <v>0</v>
      </c>
    </row>
    <row r="64" spans="1:9" x14ac:dyDescent="0.3">
      <c r="A64">
        <v>-118.5</v>
      </c>
      <c r="B64">
        <v>34</v>
      </c>
      <c r="C64">
        <v>2025</v>
      </c>
      <c r="D64">
        <v>1</v>
      </c>
      <c r="E64">
        <v>3</v>
      </c>
      <c r="F64">
        <f>Sayfa1!C64-273.15</f>
        <v>16.280175781250023</v>
      </c>
      <c r="G64">
        <v>68.005172729492188</v>
      </c>
      <c r="H64">
        <f>SQRT(Sayfa1!D64^2+Sayfa1!E64^2)</f>
        <v>0.91416772734440188</v>
      </c>
      <c r="I64">
        <f>SUM(Sayfa1!G41:G64)</f>
        <v>0</v>
      </c>
    </row>
    <row r="65" spans="1:9" x14ac:dyDescent="0.3">
      <c r="A65">
        <v>-118.5</v>
      </c>
      <c r="B65">
        <v>34</v>
      </c>
      <c r="C65">
        <v>2025</v>
      </c>
      <c r="D65">
        <v>1</v>
      </c>
      <c r="E65">
        <v>3</v>
      </c>
      <c r="F65">
        <f>Sayfa1!C65-273.15</f>
        <v>16.053369140625023</v>
      </c>
      <c r="G65">
        <v>66.057533264160156</v>
      </c>
      <c r="H65">
        <f>SQRT(Sayfa1!D65^2+Sayfa1!E65^2)</f>
        <v>0.83378360867252466</v>
      </c>
      <c r="I65">
        <f>SUM(Sayfa1!G42:G65)</f>
        <v>0</v>
      </c>
    </row>
    <row r="66" spans="1:9" x14ac:dyDescent="0.3">
      <c r="A66">
        <v>-118.5</v>
      </c>
      <c r="B66">
        <v>34</v>
      </c>
      <c r="C66">
        <v>2025</v>
      </c>
      <c r="D66">
        <v>1</v>
      </c>
      <c r="E66">
        <v>3</v>
      </c>
      <c r="F66">
        <f>Sayfa1!C66-273.15</f>
        <v>15.732080078125023</v>
      </c>
      <c r="G66">
        <v>64.875541687011719</v>
      </c>
      <c r="H66">
        <f>SQRT(Sayfa1!D66^2+Sayfa1!E66^2)</f>
        <v>0.55664989396793862</v>
      </c>
      <c r="I66">
        <f>SUM(Sayfa1!G43:G66)</f>
        <v>0</v>
      </c>
    </row>
    <row r="67" spans="1:9" x14ac:dyDescent="0.3">
      <c r="A67">
        <v>-118.5</v>
      </c>
      <c r="B67">
        <v>34</v>
      </c>
      <c r="C67">
        <v>2025</v>
      </c>
      <c r="D67">
        <v>1</v>
      </c>
      <c r="E67">
        <v>3</v>
      </c>
      <c r="F67">
        <f>Sayfa1!C67-273.15</f>
        <v>15.367578125000023</v>
      </c>
      <c r="G67">
        <v>58.049770355224609</v>
      </c>
      <c r="H67">
        <f>SQRT(Sayfa1!D67^2+Sayfa1!E67^2)</f>
        <v>0.77951196236475306</v>
      </c>
      <c r="I67">
        <f>SUM(Sayfa1!G44:G67)</f>
        <v>0</v>
      </c>
    </row>
    <row r="68" spans="1:9" x14ac:dyDescent="0.3">
      <c r="A68">
        <v>-118.5</v>
      </c>
      <c r="B68">
        <v>34</v>
      </c>
      <c r="C68">
        <v>2025</v>
      </c>
      <c r="D68">
        <v>1</v>
      </c>
      <c r="E68">
        <v>3</v>
      </c>
      <c r="F68">
        <f>Sayfa1!C68-273.15</f>
        <v>14.782617187500023</v>
      </c>
      <c r="G68">
        <v>51.593452453613281</v>
      </c>
      <c r="H68">
        <f>SQRT(Sayfa1!D68^2+Sayfa1!E68^2)</f>
        <v>1.2614530473287158</v>
      </c>
      <c r="I68">
        <f>SUM(Sayfa1!G45:G68)</f>
        <v>0</v>
      </c>
    </row>
    <row r="69" spans="1:9" x14ac:dyDescent="0.3">
      <c r="A69">
        <v>-118.5</v>
      </c>
      <c r="B69">
        <v>34</v>
      </c>
      <c r="C69">
        <v>2025</v>
      </c>
      <c r="D69">
        <v>1</v>
      </c>
      <c r="E69">
        <v>3</v>
      </c>
      <c r="F69">
        <f>Sayfa1!C69-273.15</f>
        <v>15.162988281250023</v>
      </c>
      <c r="G69">
        <v>54.198848724365234</v>
      </c>
      <c r="H69">
        <f>SQRT(Sayfa1!D69^2+Sayfa1!E69^2)</f>
        <v>1.3105133049853872</v>
      </c>
      <c r="I69">
        <f>SUM(Sayfa1!G46:G69)</f>
        <v>0</v>
      </c>
    </row>
    <row r="70" spans="1:9" x14ac:dyDescent="0.3">
      <c r="A70">
        <v>-118.5</v>
      </c>
      <c r="B70">
        <v>34</v>
      </c>
      <c r="C70">
        <v>2025</v>
      </c>
      <c r="D70">
        <v>1</v>
      </c>
      <c r="E70">
        <v>3</v>
      </c>
      <c r="F70">
        <f>Sayfa1!C70-273.15</f>
        <v>15.918603515625023</v>
      </c>
      <c r="G70">
        <v>53.2750244140625</v>
      </c>
      <c r="H70">
        <f>SQRT(Sayfa1!D70^2+Sayfa1!E70^2)</f>
        <v>2.1467633813408233</v>
      </c>
      <c r="I70">
        <f>SUM(Sayfa1!G47:G70)</f>
        <v>0</v>
      </c>
    </row>
    <row r="71" spans="1:9" x14ac:dyDescent="0.3">
      <c r="A71">
        <v>-118.5</v>
      </c>
      <c r="B71">
        <v>34</v>
      </c>
      <c r="C71">
        <v>2025</v>
      </c>
      <c r="D71">
        <v>1</v>
      </c>
      <c r="E71">
        <v>3</v>
      </c>
      <c r="F71">
        <f>Sayfa1!C71-273.15</f>
        <v>16.263085937500023</v>
      </c>
      <c r="G71">
        <v>52.866096496582031</v>
      </c>
      <c r="H71">
        <f>SQRT(Sayfa1!D71^2+Sayfa1!E71^2)</f>
        <v>2.6631136415161034</v>
      </c>
      <c r="I71">
        <f>SUM(Sayfa1!G48:G71)</f>
        <v>0</v>
      </c>
    </row>
    <row r="72" spans="1:9" x14ac:dyDescent="0.3">
      <c r="A72">
        <v>-118.5</v>
      </c>
      <c r="B72">
        <v>34</v>
      </c>
      <c r="C72">
        <v>2025</v>
      </c>
      <c r="D72">
        <v>1</v>
      </c>
      <c r="E72">
        <v>3</v>
      </c>
      <c r="F72">
        <f>Sayfa1!C72-273.15</f>
        <v>16.083154296875023</v>
      </c>
      <c r="G72">
        <v>58.727676391601563</v>
      </c>
      <c r="H72">
        <f>SQRT(Sayfa1!D72^2+Sayfa1!E72^2)</f>
        <v>1.1354855767612908</v>
      </c>
      <c r="I72">
        <f>SUM(Sayfa1!G49:G72)</f>
        <v>0</v>
      </c>
    </row>
    <row r="73" spans="1:9" x14ac:dyDescent="0.3">
      <c r="A73">
        <v>-118.5</v>
      </c>
      <c r="B73">
        <v>34</v>
      </c>
      <c r="C73">
        <v>2025</v>
      </c>
      <c r="D73">
        <v>1</v>
      </c>
      <c r="E73">
        <v>3</v>
      </c>
      <c r="F73">
        <f>Sayfa1!C73-273.15</f>
        <v>16.583154296875023</v>
      </c>
      <c r="G73">
        <v>55.445068359375</v>
      </c>
      <c r="H73">
        <f>SQRT(Sayfa1!D73^2+Sayfa1!E73^2)</f>
        <v>2.898182530158365</v>
      </c>
      <c r="I73">
        <f>SUM(Sayfa1!G50:G73)</f>
        <v>0</v>
      </c>
    </row>
    <row r="74" spans="1:9" x14ac:dyDescent="0.3">
      <c r="A74">
        <v>-118.5</v>
      </c>
      <c r="B74">
        <v>34</v>
      </c>
      <c r="C74">
        <v>2025</v>
      </c>
      <c r="D74">
        <v>1</v>
      </c>
      <c r="E74">
        <v>4</v>
      </c>
      <c r="F74">
        <f>Sayfa1!C74-273.15</f>
        <v>16.074365234375023</v>
      </c>
      <c r="G74">
        <v>57.920379638671875</v>
      </c>
      <c r="H74">
        <f>SQRT(Sayfa1!D74^2+Sayfa1!E74^2)</f>
        <v>2.6419589353562598</v>
      </c>
      <c r="I74">
        <f>SUM(Sayfa1!G51:G74)</f>
        <v>0</v>
      </c>
    </row>
    <row r="75" spans="1:9" x14ac:dyDescent="0.3">
      <c r="A75">
        <v>-118.5</v>
      </c>
      <c r="B75">
        <v>34</v>
      </c>
      <c r="C75">
        <v>2025</v>
      </c>
      <c r="D75">
        <v>1</v>
      </c>
      <c r="E75">
        <v>4</v>
      </c>
      <c r="F75">
        <f>Sayfa1!C75-273.15</f>
        <v>14.754052734375023</v>
      </c>
      <c r="G75">
        <v>67.30023193359375</v>
      </c>
      <c r="H75">
        <f>SQRT(Sayfa1!D75^2+Sayfa1!E75^2)</f>
        <v>3.4094040245576385</v>
      </c>
      <c r="I75">
        <f>SUM(Sayfa1!G52:G75)</f>
        <v>0</v>
      </c>
    </row>
    <row r="76" spans="1:9" x14ac:dyDescent="0.3">
      <c r="A76">
        <v>-118.5</v>
      </c>
      <c r="B76">
        <v>34</v>
      </c>
      <c r="C76">
        <v>2025</v>
      </c>
      <c r="D76">
        <v>1</v>
      </c>
      <c r="E76">
        <v>4</v>
      </c>
      <c r="F76">
        <f>Sayfa1!C76-273.15</f>
        <v>13.473168945312523</v>
      </c>
      <c r="G76">
        <v>79.520187377929688</v>
      </c>
      <c r="H76">
        <f>SQRT(Sayfa1!D76^2+Sayfa1!E76^2)</f>
        <v>3.6160159693624867</v>
      </c>
      <c r="I76">
        <f>SUM(Sayfa1!G53:G76)</f>
        <v>0</v>
      </c>
    </row>
    <row r="77" spans="1:9" x14ac:dyDescent="0.3">
      <c r="A77">
        <v>-118.5</v>
      </c>
      <c r="B77">
        <v>34</v>
      </c>
      <c r="C77">
        <v>2025</v>
      </c>
      <c r="D77">
        <v>1</v>
      </c>
      <c r="E77">
        <v>4</v>
      </c>
      <c r="F77">
        <f>Sayfa1!C77-273.15</f>
        <v>12.947290039062523</v>
      </c>
      <c r="G77">
        <v>86.268661499023438</v>
      </c>
      <c r="H77">
        <f>SQRT(Sayfa1!D77^2+Sayfa1!E77^2)</f>
        <v>2.8485230437218081</v>
      </c>
      <c r="I77">
        <f>SUM(Sayfa1!G54:G77)</f>
        <v>0</v>
      </c>
    </row>
    <row r="78" spans="1:9" x14ac:dyDescent="0.3">
      <c r="A78">
        <v>-118.5</v>
      </c>
      <c r="B78">
        <v>34</v>
      </c>
      <c r="C78">
        <v>2025</v>
      </c>
      <c r="D78">
        <v>1</v>
      </c>
      <c r="E78">
        <v>4</v>
      </c>
      <c r="F78">
        <f>Sayfa1!C78-273.15</f>
        <v>12.710351562500023</v>
      </c>
      <c r="G78">
        <v>89.925491333007813</v>
      </c>
      <c r="H78">
        <f>SQRT(Sayfa1!D78^2+Sayfa1!E78^2)</f>
        <v>1.9397605645598739</v>
      </c>
      <c r="I78">
        <f>SUM(Sayfa1!G55:G78)</f>
        <v>0</v>
      </c>
    </row>
    <row r="79" spans="1:9" x14ac:dyDescent="0.3">
      <c r="A79">
        <v>-118.5</v>
      </c>
      <c r="B79">
        <v>34</v>
      </c>
      <c r="C79">
        <v>2025</v>
      </c>
      <c r="D79">
        <v>1</v>
      </c>
      <c r="E79">
        <v>4</v>
      </c>
      <c r="F79">
        <f>Sayfa1!C79-273.15</f>
        <v>12.489770507812523</v>
      </c>
      <c r="G79">
        <v>91.765762329101563</v>
      </c>
      <c r="H79">
        <f>SQRT(Sayfa1!D79^2+Sayfa1!E79^2)</f>
        <v>0.33275096320487385</v>
      </c>
      <c r="I79">
        <f>SUM(Sayfa1!G56:G79)</f>
        <v>0</v>
      </c>
    </row>
    <row r="80" spans="1:9" x14ac:dyDescent="0.3">
      <c r="A80">
        <v>-118.5</v>
      </c>
      <c r="B80">
        <v>34</v>
      </c>
      <c r="C80">
        <v>2025</v>
      </c>
      <c r="D80">
        <v>1</v>
      </c>
      <c r="E80">
        <v>4</v>
      </c>
      <c r="F80">
        <f>Sayfa1!C80-273.15</f>
        <v>12.176171875000023</v>
      </c>
      <c r="G80">
        <v>93.770751953125</v>
      </c>
      <c r="H80">
        <f>SQRT(Sayfa1!D80^2+Sayfa1!E80^2)</f>
        <v>0.49711726375368281</v>
      </c>
      <c r="I80">
        <f>SUM(Sayfa1!G57:G80)</f>
        <v>0</v>
      </c>
    </row>
    <row r="81" spans="1:9" x14ac:dyDescent="0.3">
      <c r="A81">
        <v>-118.5</v>
      </c>
      <c r="B81">
        <v>34</v>
      </c>
      <c r="C81">
        <v>2025</v>
      </c>
      <c r="D81">
        <v>1</v>
      </c>
      <c r="E81">
        <v>4</v>
      </c>
      <c r="F81">
        <f>Sayfa1!C81-273.15</f>
        <v>12.138940429687523</v>
      </c>
      <c r="G81">
        <v>93.770370483398438</v>
      </c>
      <c r="H81">
        <f>SQRT(Sayfa1!D81^2+Sayfa1!E81^2)</f>
        <v>0.69041847414814494</v>
      </c>
      <c r="I81">
        <f>SUM(Sayfa1!G58:G81)</f>
        <v>0</v>
      </c>
    </row>
    <row r="82" spans="1:9" x14ac:dyDescent="0.3">
      <c r="A82">
        <v>-118.5</v>
      </c>
      <c r="B82">
        <v>34</v>
      </c>
      <c r="C82">
        <v>2025</v>
      </c>
      <c r="D82">
        <v>1</v>
      </c>
      <c r="E82">
        <v>4</v>
      </c>
      <c r="F82">
        <f>Sayfa1!C82-273.15</f>
        <v>12.175439453125023</v>
      </c>
      <c r="G82">
        <v>92.5391845703125</v>
      </c>
      <c r="H82">
        <f>SQRT(Sayfa1!D82^2+Sayfa1!E82^2)</f>
        <v>1.6137149755400557</v>
      </c>
      <c r="I82">
        <f>SUM(Sayfa1!G59:G82)</f>
        <v>0</v>
      </c>
    </row>
    <row r="83" spans="1:9" x14ac:dyDescent="0.3">
      <c r="A83">
        <v>-118.5</v>
      </c>
      <c r="B83">
        <v>34</v>
      </c>
      <c r="C83">
        <v>2025</v>
      </c>
      <c r="D83">
        <v>1</v>
      </c>
      <c r="E83">
        <v>4</v>
      </c>
      <c r="F83">
        <f>Sayfa1!C83-273.15</f>
        <v>12.120629882812523</v>
      </c>
      <c r="G83">
        <v>91.937286376953125</v>
      </c>
      <c r="H83">
        <f>SQRT(Sayfa1!D83^2+Sayfa1!E83^2)</f>
        <v>1.5759295410364553</v>
      </c>
      <c r="I83">
        <f>SUM(Sayfa1!G60:G83)</f>
        <v>0</v>
      </c>
    </row>
    <row r="84" spans="1:9" x14ac:dyDescent="0.3">
      <c r="A84">
        <v>-118.5</v>
      </c>
      <c r="B84">
        <v>34</v>
      </c>
      <c r="C84">
        <v>2025</v>
      </c>
      <c r="D84">
        <v>1</v>
      </c>
      <c r="E84">
        <v>4</v>
      </c>
      <c r="F84">
        <f>Sayfa1!C84-273.15</f>
        <v>11.191674804687523</v>
      </c>
      <c r="G84">
        <v>89.409774780273438</v>
      </c>
      <c r="H84">
        <f>SQRT(Sayfa1!D84^2+Sayfa1!E84^2)</f>
        <v>1.5126953483628329</v>
      </c>
      <c r="I84">
        <f>SUM(Sayfa1!G61:G84)</f>
        <v>0</v>
      </c>
    </row>
    <row r="85" spans="1:9" x14ac:dyDescent="0.3">
      <c r="A85">
        <v>-118.5</v>
      </c>
      <c r="B85">
        <v>34</v>
      </c>
      <c r="C85">
        <v>2025</v>
      </c>
      <c r="D85">
        <v>1</v>
      </c>
      <c r="E85">
        <v>4</v>
      </c>
      <c r="F85">
        <f>Sayfa1!C85-273.15</f>
        <v>11.327294921875023</v>
      </c>
      <c r="G85">
        <v>87.054153442382813</v>
      </c>
      <c r="H85">
        <f>SQRT(Sayfa1!D85^2+Sayfa1!E85^2)</f>
        <v>1.8554833913526592</v>
      </c>
      <c r="I85">
        <f>SUM(Sayfa1!G62:G85)</f>
        <v>0</v>
      </c>
    </row>
    <row r="86" spans="1:9" x14ac:dyDescent="0.3">
      <c r="A86">
        <v>-118.5</v>
      </c>
      <c r="B86">
        <v>34</v>
      </c>
      <c r="C86">
        <v>2025</v>
      </c>
      <c r="D86">
        <v>1</v>
      </c>
      <c r="E86">
        <v>4</v>
      </c>
      <c r="F86">
        <f>Sayfa1!C86-273.15</f>
        <v>11.355340576171898</v>
      </c>
      <c r="G86">
        <v>87.208404541015625</v>
      </c>
      <c r="H86">
        <f>SQRT(Sayfa1!D86^2+Sayfa1!E86^2)</f>
        <v>2.1184255906016087</v>
      </c>
      <c r="I86">
        <f>SUM(Sayfa1!G63:G86)</f>
        <v>0</v>
      </c>
    </row>
    <row r="87" spans="1:9" x14ac:dyDescent="0.3">
      <c r="A87">
        <v>-118.5</v>
      </c>
      <c r="B87">
        <v>34</v>
      </c>
      <c r="C87">
        <v>2025</v>
      </c>
      <c r="D87">
        <v>1</v>
      </c>
      <c r="E87">
        <v>4</v>
      </c>
      <c r="F87">
        <f>Sayfa1!C87-273.15</f>
        <v>11.510217285156273</v>
      </c>
      <c r="G87">
        <v>85.454483032226563</v>
      </c>
      <c r="H87">
        <f>SQRT(Sayfa1!D87^2+Sayfa1!E87^2)</f>
        <v>1.8835693435049898</v>
      </c>
      <c r="I87">
        <f>SUM(Sayfa1!G64:G87)</f>
        <v>9.5367431640625E-4</v>
      </c>
    </row>
    <row r="88" spans="1:9" x14ac:dyDescent="0.3">
      <c r="A88">
        <v>-118.5</v>
      </c>
      <c r="B88">
        <v>34</v>
      </c>
      <c r="C88">
        <v>2025</v>
      </c>
      <c r="D88">
        <v>1</v>
      </c>
      <c r="E88">
        <v>4</v>
      </c>
      <c r="F88">
        <f>Sayfa1!C88-273.15</f>
        <v>11.819970703125023</v>
      </c>
      <c r="G88">
        <v>83.578857421875</v>
      </c>
      <c r="H88">
        <f>SQRT(Sayfa1!D88^2+Sayfa1!E88^2)</f>
        <v>1.3855889889619324</v>
      </c>
      <c r="I88">
        <f>SUM(Sayfa1!G65:G88)</f>
        <v>8.106231689453125E-3</v>
      </c>
    </row>
    <row r="89" spans="1:9" x14ac:dyDescent="0.3">
      <c r="A89">
        <v>-118.5</v>
      </c>
      <c r="B89">
        <v>34</v>
      </c>
      <c r="C89">
        <v>2025</v>
      </c>
      <c r="D89">
        <v>1</v>
      </c>
      <c r="E89">
        <v>4</v>
      </c>
      <c r="F89">
        <f>Sayfa1!C89-273.15</f>
        <v>11.814355468750023</v>
      </c>
      <c r="G89">
        <v>81.704925537109375</v>
      </c>
      <c r="H89">
        <f>SQRT(Sayfa1!D89^2+Sayfa1!E89^2)</f>
        <v>0.85339819181565924</v>
      </c>
      <c r="I89">
        <f>SUM(Sayfa1!G66:G89)</f>
        <v>1.0013580322265625E-2</v>
      </c>
    </row>
    <row r="90" spans="1:9" x14ac:dyDescent="0.3">
      <c r="A90">
        <v>-118.5</v>
      </c>
      <c r="B90">
        <v>34</v>
      </c>
      <c r="C90">
        <v>2025</v>
      </c>
      <c r="D90">
        <v>1</v>
      </c>
      <c r="E90">
        <v>4</v>
      </c>
      <c r="F90">
        <f>Sayfa1!C90-273.15</f>
        <v>11.530755615234398</v>
      </c>
      <c r="G90">
        <v>78.825775146484375</v>
      </c>
      <c r="H90">
        <f>SQRT(Sayfa1!D90^2+Sayfa1!E90^2)</f>
        <v>1.0485806364065953</v>
      </c>
      <c r="I90">
        <f>SUM(Sayfa1!G67:G90)</f>
        <v>1.1920928955078125E-2</v>
      </c>
    </row>
    <row r="91" spans="1:9" x14ac:dyDescent="0.3">
      <c r="A91">
        <v>-118.5</v>
      </c>
      <c r="B91">
        <v>34</v>
      </c>
      <c r="C91">
        <v>2025</v>
      </c>
      <c r="D91">
        <v>1</v>
      </c>
      <c r="E91">
        <v>4</v>
      </c>
      <c r="F91">
        <f>Sayfa1!C91-273.15</f>
        <v>11.344049072265648</v>
      </c>
      <c r="G91">
        <v>74.585494995117188</v>
      </c>
      <c r="H91">
        <f>SQRT(Sayfa1!D91^2+Sayfa1!E91^2)</f>
        <v>1.1721788573710787</v>
      </c>
      <c r="I91">
        <f>SUM(Sayfa1!G68:G91)</f>
        <v>1.1920928955078125E-2</v>
      </c>
    </row>
    <row r="92" spans="1:9" x14ac:dyDescent="0.3">
      <c r="A92">
        <v>-118.5</v>
      </c>
      <c r="B92">
        <v>34</v>
      </c>
      <c r="C92">
        <v>2025</v>
      </c>
      <c r="D92">
        <v>1</v>
      </c>
      <c r="E92">
        <v>4</v>
      </c>
      <c r="F92">
        <f>Sayfa1!C92-273.15</f>
        <v>12.051232910156273</v>
      </c>
      <c r="G92">
        <v>69.17718505859375</v>
      </c>
      <c r="H92">
        <f>SQRT(Sayfa1!D92^2+Sayfa1!E92^2)</f>
        <v>0.85219949910950876</v>
      </c>
      <c r="I92">
        <f>SUM(Sayfa1!G69:G92)</f>
        <v>1.1920928955078125E-2</v>
      </c>
    </row>
    <row r="93" spans="1:9" x14ac:dyDescent="0.3">
      <c r="A93">
        <v>-118.5</v>
      </c>
      <c r="B93">
        <v>34</v>
      </c>
      <c r="C93">
        <v>2025</v>
      </c>
      <c r="D93">
        <v>1</v>
      </c>
      <c r="E93">
        <v>4</v>
      </c>
      <c r="F93">
        <f>Sayfa1!C93-273.15</f>
        <v>13.711328125000023</v>
      </c>
      <c r="G93">
        <v>57.153060913085938</v>
      </c>
      <c r="H93">
        <f>SQRT(Sayfa1!D93^2+Sayfa1!E93^2)</f>
        <v>0.61377231962197276</v>
      </c>
      <c r="I93">
        <f>SUM(Sayfa1!G70:G93)</f>
        <v>1.1920928955078125E-2</v>
      </c>
    </row>
    <row r="94" spans="1:9" x14ac:dyDescent="0.3">
      <c r="A94">
        <v>-118.5</v>
      </c>
      <c r="B94">
        <v>34</v>
      </c>
      <c r="C94">
        <v>2025</v>
      </c>
      <c r="D94">
        <v>1</v>
      </c>
      <c r="E94">
        <v>4</v>
      </c>
      <c r="F94">
        <f>Sayfa1!C94-273.15</f>
        <v>15.122705078125023</v>
      </c>
      <c r="G94">
        <v>49.165237426757813</v>
      </c>
      <c r="H94">
        <f>SQRT(Sayfa1!D94^2+Sayfa1!E94^2)</f>
        <v>0.91595589462332738</v>
      </c>
      <c r="I94">
        <f>SUM(Sayfa1!G71:G94)</f>
        <v>1.1920928955078125E-2</v>
      </c>
    </row>
    <row r="95" spans="1:9" x14ac:dyDescent="0.3">
      <c r="A95">
        <v>-118.5</v>
      </c>
      <c r="B95">
        <v>34</v>
      </c>
      <c r="C95">
        <v>2025</v>
      </c>
      <c r="D95">
        <v>1</v>
      </c>
      <c r="E95">
        <v>4</v>
      </c>
      <c r="F95">
        <f>Sayfa1!C95-273.15</f>
        <v>16.409448242187523</v>
      </c>
      <c r="G95">
        <v>42.966995239257813</v>
      </c>
      <c r="H95">
        <f>SQRT(Sayfa1!D95^2+Sayfa1!E95^2)</f>
        <v>1.582689822029123</v>
      </c>
      <c r="I95">
        <f>SUM(Sayfa1!G72:G95)</f>
        <v>1.1920928955078125E-2</v>
      </c>
    </row>
    <row r="96" spans="1:9" x14ac:dyDescent="0.3">
      <c r="A96">
        <v>-118.5</v>
      </c>
      <c r="B96">
        <v>34</v>
      </c>
      <c r="C96">
        <v>2025</v>
      </c>
      <c r="D96">
        <v>1</v>
      </c>
      <c r="E96">
        <v>4</v>
      </c>
      <c r="F96">
        <f>Sayfa1!C96-273.15</f>
        <v>15.585961914062523</v>
      </c>
      <c r="G96">
        <v>48.983367919921875</v>
      </c>
      <c r="H96">
        <f>SQRT(Sayfa1!D96^2+Sayfa1!E96^2)</f>
        <v>1.4075097988452274</v>
      </c>
      <c r="I96">
        <f>SUM(Sayfa1!G73:G96)</f>
        <v>1.1920928955078125E-2</v>
      </c>
    </row>
    <row r="97" spans="1:9" x14ac:dyDescent="0.3">
      <c r="A97">
        <v>-118.5</v>
      </c>
      <c r="B97">
        <v>34</v>
      </c>
      <c r="C97">
        <v>2025</v>
      </c>
      <c r="D97">
        <v>1</v>
      </c>
      <c r="E97">
        <v>4</v>
      </c>
      <c r="F97">
        <f>Sayfa1!C97-273.15</f>
        <v>16.137109375000023</v>
      </c>
      <c r="G97">
        <v>48.044845581054688</v>
      </c>
      <c r="H97">
        <f>SQRT(Sayfa1!D97^2+Sayfa1!E97^2)</f>
        <v>1.7572136773582219</v>
      </c>
      <c r="I97">
        <f>SUM(Sayfa1!G74:G97)</f>
        <v>1.1920928955078125E-2</v>
      </c>
    </row>
    <row r="98" spans="1:9" x14ac:dyDescent="0.3">
      <c r="A98">
        <v>-118.5</v>
      </c>
      <c r="B98">
        <v>34</v>
      </c>
      <c r="C98">
        <v>2025</v>
      </c>
      <c r="D98">
        <v>1</v>
      </c>
      <c r="E98">
        <v>5</v>
      </c>
      <c r="F98">
        <f>Sayfa1!C98-273.15</f>
        <v>16.141259765625023</v>
      </c>
      <c r="G98">
        <v>50.691680908203125</v>
      </c>
      <c r="H98">
        <f>SQRT(Sayfa1!D98^2+Sayfa1!E98^2)</f>
        <v>1.8804593718060736</v>
      </c>
      <c r="I98">
        <f>SUM(Sayfa1!G75:G98)</f>
        <v>1.1920928955078125E-2</v>
      </c>
    </row>
    <row r="99" spans="1:9" x14ac:dyDescent="0.3">
      <c r="A99">
        <v>-118.5</v>
      </c>
      <c r="B99">
        <v>34</v>
      </c>
      <c r="C99">
        <v>2025</v>
      </c>
      <c r="D99">
        <v>1</v>
      </c>
      <c r="E99">
        <v>5</v>
      </c>
      <c r="F99">
        <f>Sayfa1!C99-273.15</f>
        <v>15.816430664062523</v>
      </c>
      <c r="G99">
        <v>56.4127197265625</v>
      </c>
      <c r="H99">
        <f>SQRT(Sayfa1!D99^2+Sayfa1!E99^2)</f>
        <v>2.0376969325162375</v>
      </c>
      <c r="I99">
        <f>SUM(Sayfa1!G76:G99)</f>
        <v>1.1920928955078125E-2</v>
      </c>
    </row>
    <row r="100" spans="1:9" x14ac:dyDescent="0.3">
      <c r="A100">
        <v>-118.5</v>
      </c>
      <c r="B100">
        <v>34</v>
      </c>
      <c r="C100">
        <v>2025</v>
      </c>
      <c r="D100">
        <v>1</v>
      </c>
      <c r="E100">
        <v>5</v>
      </c>
      <c r="F100">
        <f>Sayfa1!C100-273.15</f>
        <v>15.469873046875023</v>
      </c>
      <c r="G100">
        <v>61.300643920898438</v>
      </c>
      <c r="H100">
        <f>SQRT(Sayfa1!D100^2+Sayfa1!E100^2)</f>
        <v>1.6931057766771918</v>
      </c>
      <c r="I100">
        <f>SUM(Sayfa1!G77:G100)</f>
        <v>1.1920928955078125E-2</v>
      </c>
    </row>
    <row r="101" spans="1:9" x14ac:dyDescent="0.3">
      <c r="A101">
        <v>-118.5</v>
      </c>
      <c r="B101">
        <v>34</v>
      </c>
      <c r="C101">
        <v>2025</v>
      </c>
      <c r="D101">
        <v>1</v>
      </c>
      <c r="E101">
        <v>5</v>
      </c>
      <c r="F101">
        <f>Sayfa1!C101-273.15</f>
        <v>15.242761230468773</v>
      </c>
      <c r="G101">
        <v>64.0308837890625</v>
      </c>
      <c r="H101">
        <f>SQRT(Sayfa1!D101^2+Sayfa1!E101^2)</f>
        <v>1.6930339496685622</v>
      </c>
      <c r="I101">
        <f>SUM(Sayfa1!G78:G101)</f>
        <v>1.1920928955078125E-2</v>
      </c>
    </row>
    <row r="102" spans="1:9" x14ac:dyDescent="0.3">
      <c r="A102">
        <v>-118.5</v>
      </c>
      <c r="B102">
        <v>34</v>
      </c>
      <c r="C102">
        <v>2025</v>
      </c>
      <c r="D102">
        <v>1</v>
      </c>
      <c r="E102">
        <v>5</v>
      </c>
      <c r="F102">
        <f>Sayfa1!C102-273.15</f>
        <v>15.263513183593773</v>
      </c>
      <c r="G102">
        <v>64.063888549804688</v>
      </c>
      <c r="H102">
        <f>SQRT(Sayfa1!D102^2+Sayfa1!E102^2)</f>
        <v>2.0739362178188188</v>
      </c>
      <c r="I102">
        <f>SUM(Sayfa1!G79:G102)</f>
        <v>1.1920928955078125E-2</v>
      </c>
    </row>
    <row r="103" spans="1:9" x14ac:dyDescent="0.3">
      <c r="A103">
        <v>-118.5</v>
      </c>
      <c r="B103">
        <v>34</v>
      </c>
      <c r="C103">
        <v>2025</v>
      </c>
      <c r="D103">
        <v>1</v>
      </c>
      <c r="E103">
        <v>5</v>
      </c>
      <c r="F103">
        <f>Sayfa1!C103-273.15</f>
        <v>15.623193359375023</v>
      </c>
      <c r="G103">
        <v>60.125747680664063</v>
      </c>
      <c r="H103">
        <f>SQRT(Sayfa1!D103^2+Sayfa1!E103^2)</f>
        <v>2.2930584582618363</v>
      </c>
      <c r="I103">
        <f>SUM(Sayfa1!G80:G103)</f>
        <v>1.1920928955078125E-2</v>
      </c>
    </row>
    <row r="104" spans="1:9" x14ac:dyDescent="0.3">
      <c r="A104">
        <v>-118.5</v>
      </c>
      <c r="B104">
        <v>34</v>
      </c>
      <c r="C104">
        <v>2025</v>
      </c>
      <c r="D104">
        <v>1</v>
      </c>
      <c r="E104">
        <v>5</v>
      </c>
      <c r="F104">
        <f>Sayfa1!C104-273.15</f>
        <v>15.731713867187523</v>
      </c>
      <c r="G104">
        <v>56.728912353515625</v>
      </c>
      <c r="H104">
        <f>SQRT(Sayfa1!D104^2+Sayfa1!E104^2)</f>
        <v>2.6841394350378756</v>
      </c>
      <c r="I104">
        <f>SUM(Sayfa1!G81:G104)</f>
        <v>1.1920928955078125E-2</v>
      </c>
    </row>
    <row r="105" spans="1:9" x14ac:dyDescent="0.3">
      <c r="A105">
        <v>-118.5</v>
      </c>
      <c r="B105">
        <v>34</v>
      </c>
      <c r="C105">
        <v>2025</v>
      </c>
      <c r="D105">
        <v>1</v>
      </c>
      <c r="E105">
        <v>5</v>
      </c>
      <c r="F105">
        <f>Sayfa1!C105-273.15</f>
        <v>15.607202148437523</v>
      </c>
      <c r="G105">
        <v>55.9365234375</v>
      </c>
      <c r="H105">
        <f>SQRT(Sayfa1!D105^2+Sayfa1!E105^2)</f>
        <v>2.9224667629605046</v>
      </c>
      <c r="I105">
        <f>SUM(Sayfa1!G82:G105)</f>
        <v>1.1920928955078125E-2</v>
      </c>
    </row>
    <row r="106" spans="1:9" x14ac:dyDescent="0.3">
      <c r="A106">
        <v>-118.5</v>
      </c>
      <c r="B106">
        <v>34</v>
      </c>
      <c r="C106">
        <v>2025</v>
      </c>
      <c r="D106">
        <v>1</v>
      </c>
      <c r="E106">
        <v>5</v>
      </c>
      <c r="F106">
        <f>Sayfa1!C106-273.15</f>
        <v>15.499902343750023</v>
      </c>
      <c r="G106">
        <v>55.782028198242188</v>
      </c>
      <c r="H106">
        <f>SQRT(Sayfa1!D106^2+Sayfa1!E106^2)</f>
        <v>3.0109665504724044</v>
      </c>
      <c r="I106">
        <f>SUM(Sayfa1!G83:G106)</f>
        <v>1.1920928955078125E-2</v>
      </c>
    </row>
    <row r="107" spans="1:9" x14ac:dyDescent="0.3">
      <c r="A107">
        <v>-118.5</v>
      </c>
      <c r="B107">
        <v>34</v>
      </c>
      <c r="C107">
        <v>2025</v>
      </c>
      <c r="D107">
        <v>1</v>
      </c>
      <c r="E107">
        <v>5</v>
      </c>
      <c r="F107">
        <f>Sayfa1!C107-273.15</f>
        <v>15.451806640625023</v>
      </c>
      <c r="G107">
        <v>55.349197387695313</v>
      </c>
      <c r="H107">
        <f>SQRT(Sayfa1!D107^2+Sayfa1!E107^2)</f>
        <v>3.1146201007182159</v>
      </c>
      <c r="I107">
        <f>SUM(Sayfa1!G84:G107)</f>
        <v>1.1920928955078125E-2</v>
      </c>
    </row>
    <row r="108" spans="1:9" x14ac:dyDescent="0.3">
      <c r="A108">
        <v>-118.5</v>
      </c>
      <c r="B108">
        <v>34</v>
      </c>
      <c r="C108">
        <v>2025</v>
      </c>
      <c r="D108">
        <v>1</v>
      </c>
      <c r="E108">
        <v>5</v>
      </c>
      <c r="F108">
        <f>Sayfa1!C108-273.15</f>
        <v>15.716210937500023</v>
      </c>
      <c r="G108">
        <v>49.395843505859375</v>
      </c>
      <c r="H108">
        <f>SQRT(Sayfa1!D108^2+Sayfa1!E108^2)</f>
        <v>3.0678100370775914</v>
      </c>
      <c r="I108">
        <f>SUM(Sayfa1!G85:G108)</f>
        <v>1.1920928955078125E-2</v>
      </c>
    </row>
    <row r="109" spans="1:9" x14ac:dyDescent="0.3">
      <c r="A109">
        <v>-118.5</v>
      </c>
      <c r="B109">
        <v>34</v>
      </c>
      <c r="C109">
        <v>2025</v>
      </c>
      <c r="D109">
        <v>1</v>
      </c>
      <c r="E109">
        <v>5</v>
      </c>
      <c r="F109">
        <f>Sayfa1!C109-273.15</f>
        <v>15.750634765625023</v>
      </c>
      <c r="G109">
        <v>50.30841064453125</v>
      </c>
      <c r="H109">
        <f>SQRT(Sayfa1!D109^2+Sayfa1!E109^2)</f>
        <v>3.2936892215174636</v>
      </c>
      <c r="I109">
        <f>SUM(Sayfa1!G86:G109)</f>
        <v>1.1920928955078125E-2</v>
      </c>
    </row>
    <row r="110" spans="1:9" x14ac:dyDescent="0.3">
      <c r="A110">
        <v>-118.5</v>
      </c>
      <c r="B110">
        <v>34</v>
      </c>
      <c r="C110">
        <v>2025</v>
      </c>
      <c r="D110">
        <v>1</v>
      </c>
      <c r="E110">
        <v>5</v>
      </c>
      <c r="F110">
        <f>Sayfa1!C110-273.15</f>
        <v>16.008325195312523</v>
      </c>
      <c r="G110">
        <v>50.038177490234375</v>
      </c>
      <c r="H110">
        <f>SQRT(Sayfa1!D110^2+Sayfa1!E110^2)</f>
        <v>3.0707322093827689</v>
      </c>
      <c r="I110">
        <f>SUM(Sayfa1!G87:G110)</f>
        <v>1.1920928955078125E-2</v>
      </c>
    </row>
    <row r="111" spans="1:9" x14ac:dyDescent="0.3">
      <c r="A111">
        <v>-118.5</v>
      </c>
      <c r="B111">
        <v>34</v>
      </c>
      <c r="C111">
        <v>2025</v>
      </c>
      <c r="D111">
        <v>1</v>
      </c>
      <c r="E111">
        <v>5</v>
      </c>
      <c r="F111">
        <f>Sayfa1!C111-273.15</f>
        <v>16.225488281250023</v>
      </c>
      <c r="G111">
        <v>49.744064331054688</v>
      </c>
      <c r="H111">
        <f>SQRT(Sayfa1!D111^2+Sayfa1!E111^2)</f>
        <v>2.9937307428097011</v>
      </c>
      <c r="I111">
        <f>SUM(Sayfa1!G88:G111)</f>
        <v>1.0967254638671875E-2</v>
      </c>
    </row>
    <row r="112" spans="1:9" x14ac:dyDescent="0.3">
      <c r="A112">
        <v>-118.5</v>
      </c>
      <c r="B112">
        <v>34</v>
      </c>
      <c r="C112">
        <v>2025</v>
      </c>
      <c r="D112">
        <v>1</v>
      </c>
      <c r="E112">
        <v>5</v>
      </c>
      <c r="F112">
        <f>Sayfa1!C112-273.15</f>
        <v>16.498559570312523</v>
      </c>
      <c r="G112">
        <v>49.2542724609375</v>
      </c>
      <c r="H112">
        <f>SQRT(Sayfa1!D112^2+Sayfa1!E112^2)</f>
        <v>2.9862369608966794</v>
      </c>
      <c r="I112">
        <f>SUM(Sayfa1!G89:G112)</f>
        <v>3.814697265625E-3</v>
      </c>
    </row>
    <row r="113" spans="1:9" x14ac:dyDescent="0.3">
      <c r="A113">
        <v>-118.5</v>
      </c>
      <c r="B113">
        <v>34</v>
      </c>
      <c r="C113">
        <v>2025</v>
      </c>
      <c r="D113">
        <v>1</v>
      </c>
      <c r="E113">
        <v>5</v>
      </c>
      <c r="F113">
        <f>Sayfa1!C113-273.15</f>
        <v>16.736230468750023</v>
      </c>
      <c r="G113">
        <v>48.727249145507813</v>
      </c>
      <c r="H113">
        <f>SQRT(Sayfa1!D113^2+Sayfa1!E113^2)</f>
        <v>2.9155894937121629</v>
      </c>
      <c r="I113">
        <f>SUM(Sayfa1!G90:G113)</f>
        <v>1.9073486328125E-3</v>
      </c>
    </row>
    <row r="114" spans="1:9" x14ac:dyDescent="0.3">
      <c r="A114">
        <v>-118.5</v>
      </c>
      <c r="B114">
        <v>34</v>
      </c>
      <c r="C114">
        <v>2025</v>
      </c>
      <c r="D114">
        <v>1</v>
      </c>
      <c r="E114">
        <v>5</v>
      </c>
      <c r="F114">
        <f>Sayfa1!C114-273.15</f>
        <v>17.030664062500023</v>
      </c>
      <c r="G114">
        <v>46.05511474609375</v>
      </c>
      <c r="H114">
        <f>SQRT(Sayfa1!D114^2+Sayfa1!E114^2)</f>
        <v>2.736494823860546</v>
      </c>
      <c r="I114">
        <f>SUM(Sayfa1!G91:G114)</f>
        <v>0</v>
      </c>
    </row>
    <row r="115" spans="1:9" x14ac:dyDescent="0.3">
      <c r="A115">
        <v>-118.5</v>
      </c>
      <c r="B115">
        <v>34</v>
      </c>
      <c r="C115">
        <v>2025</v>
      </c>
      <c r="D115">
        <v>1</v>
      </c>
      <c r="E115">
        <v>5</v>
      </c>
      <c r="F115">
        <f>Sayfa1!C115-273.15</f>
        <v>17.331323242187523</v>
      </c>
      <c r="G115">
        <v>36.263763427734375</v>
      </c>
      <c r="H115">
        <f>SQRT(Sayfa1!D115^2+Sayfa1!E115^2)</f>
        <v>2.5813570896350524</v>
      </c>
      <c r="I115">
        <f>SUM(Sayfa1!G92:G115)</f>
        <v>0</v>
      </c>
    </row>
    <row r="116" spans="1:9" x14ac:dyDescent="0.3">
      <c r="A116">
        <v>-118.5</v>
      </c>
      <c r="B116">
        <v>34</v>
      </c>
      <c r="C116">
        <v>2025</v>
      </c>
      <c r="D116">
        <v>1</v>
      </c>
      <c r="E116">
        <v>5</v>
      </c>
      <c r="F116">
        <f>Sayfa1!C116-273.15</f>
        <v>17.277978515625023</v>
      </c>
      <c r="G116">
        <v>28.336044311523438</v>
      </c>
      <c r="H116">
        <f>SQRT(Sayfa1!D116^2+Sayfa1!E116^2)</f>
        <v>2.2283262037841647</v>
      </c>
      <c r="I116">
        <f>SUM(Sayfa1!G93:G116)</f>
        <v>0</v>
      </c>
    </row>
    <row r="117" spans="1:9" x14ac:dyDescent="0.3">
      <c r="A117">
        <v>-118.5</v>
      </c>
      <c r="B117">
        <v>34</v>
      </c>
      <c r="C117">
        <v>2025</v>
      </c>
      <c r="D117">
        <v>1</v>
      </c>
      <c r="E117">
        <v>5</v>
      </c>
      <c r="F117">
        <f>Sayfa1!C117-273.15</f>
        <v>18.483422851562523</v>
      </c>
      <c r="G117">
        <v>22.929672241210938</v>
      </c>
      <c r="H117">
        <f>SQRT(Sayfa1!D117^2+Sayfa1!E117^2)</f>
        <v>1.7708689826367152</v>
      </c>
      <c r="I117">
        <f>SUM(Sayfa1!G94:G117)</f>
        <v>0</v>
      </c>
    </row>
    <row r="118" spans="1:9" x14ac:dyDescent="0.3">
      <c r="A118">
        <v>-118.5</v>
      </c>
      <c r="B118">
        <v>34</v>
      </c>
      <c r="C118">
        <v>2025</v>
      </c>
      <c r="D118">
        <v>1</v>
      </c>
      <c r="E118">
        <v>5</v>
      </c>
      <c r="F118">
        <f>Sayfa1!C118-273.15</f>
        <v>20.350000000000023</v>
      </c>
      <c r="G118">
        <v>18.784942626953125</v>
      </c>
      <c r="H118">
        <f>SQRT(Sayfa1!D118^2+Sayfa1!E118^2)</f>
        <v>1.3401583318427579</v>
      </c>
      <c r="I118">
        <f>SUM(Sayfa1!G95:G118)</f>
        <v>0</v>
      </c>
    </row>
    <row r="119" spans="1:9" x14ac:dyDescent="0.3">
      <c r="A119">
        <v>-118.5</v>
      </c>
      <c r="B119">
        <v>34</v>
      </c>
      <c r="C119">
        <v>2025</v>
      </c>
      <c r="D119">
        <v>1</v>
      </c>
      <c r="E119">
        <v>5</v>
      </c>
      <c r="F119">
        <f>Sayfa1!C119-273.15</f>
        <v>21.565454101562523</v>
      </c>
      <c r="G119">
        <v>17.576213836669922</v>
      </c>
      <c r="H119">
        <f>SQRT(Sayfa1!D119^2+Sayfa1!E119^2)</f>
        <v>0.70577171829812402</v>
      </c>
      <c r="I119">
        <f>SUM(Sayfa1!G96:G119)</f>
        <v>0</v>
      </c>
    </row>
    <row r="120" spans="1:9" x14ac:dyDescent="0.3">
      <c r="A120">
        <v>-118.5</v>
      </c>
      <c r="B120">
        <v>34</v>
      </c>
      <c r="C120">
        <v>2025</v>
      </c>
      <c r="D120">
        <v>1</v>
      </c>
      <c r="E120">
        <v>5</v>
      </c>
      <c r="F120">
        <f>Sayfa1!C120-273.15</f>
        <v>21.726831054687523</v>
      </c>
      <c r="G120">
        <v>18.024635314941406</v>
      </c>
      <c r="H120">
        <f>SQRT(Sayfa1!D120^2+Sayfa1!E120^2)</f>
        <v>1.64137437500455</v>
      </c>
      <c r="I120">
        <f>SUM(Sayfa1!G97:G120)</f>
        <v>0</v>
      </c>
    </row>
    <row r="121" spans="1:9" x14ac:dyDescent="0.3">
      <c r="A121">
        <v>-118.5</v>
      </c>
      <c r="B121">
        <v>34</v>
      </c>
      <c r="C121">
        <v>2025</v>
      </c>
      <c r="D121">
        <v>1</v>
      </c>
      <c r="E121">
        <v>5</v>
      </c>
      <c r="F121">
        <f>Sayfa1!C121-273.15</f>
        <v>21.732446289062523</v>
      </c>
      <c r="G121">
        <v>19.569616317749023</v>
      </c>
      <c r="H121">
        <f>SQRT(Sayfa1!D121^2+Sayfa1!E121^2)</f>
        <v>2.1934329133197923</v>
      </c>
      <c r="I121">
        <f>SUM(Sayfa1!G98:G121)</f>
        <v>0</v>
      </c>
    </row>
    <row r="122" spans="1:9" x14ac:dyDescent="0.3">
      <c r="A122">
        <v>-118.5</v>
      </c>
      <c r="B122">
        <v>34</v>
      </c>
      <c r="C122">
        <v>2025</v>
      </c>
      <c r="D122">
        <v>1</v>
      </c>
      <c r="E122">
        <v>6</v>
      </c>
      <c r="F122">
        <f>Sayfa1!C122-273.15</f>
        <v>21.297631835937523</v>
      </c>
      <c r="G122">
        <v>24.687618255615234</v>
      </c>
      <c r="H122">
        <f>SQRT(Sayfa1!D122^2+Sayfa1!E122^2)</f>
        <v>3.0064432626323345</v>
      </c>
      <c r="I122">
        <f>SUM(Sayfa1!G99:G122)</f>
        <v>0</v>
      </c>
    </row>
    <row r="123" spans="1:9" x14ac:dyDescent="0.3">
      <c r="A123">
        <v>-118.5</v>
      </c>
      <c r="B123">
        <v>34</v>
      </c>
      <c r="C123">
        <v>2025</v>
      </c>
      <c r="D123">
        <v>1</v>
      </c>
      <c r="E123">
        <v>6</v>
      </c>
      <c r="F123">
        <f>Sayfa1!C123-273.15</f>
        <v>21.064233398437523</v>
      </c>
      <c r="G123">
        <v>29.199905395507813</v>
      </c>
      <c r="H123">
        <f>SQRT(Sayfa1!D123^2+Sayfa1!E123^2)</f>
        <v>3.3705393169094764</v>
      </c>
      <c r="I123">
        <f>SUM(Sayfa1!G100:G123)</f>
        <v>0</v>
      </c>
    </row>
    <row r="124" spans="1:9" x14ac:dyDescent="0.3">
      <c r="A124">
        <v>-118.5</v>
      </c>
      <c r="B124">
        <v>34</v>
      </c>
      <c r="C124">
        <v>2025</v>
      </c>
      <c r="D124">
        <v>1</v>
      </c>
      <c r="E124">
        <v>6</v>
      </c>
      <c r="F124">
        <f>Sayfa1!C124-273.15</f>
        <v>20.878747558593773</v>
      </c>
      <c r="G124">
        <v>31.815963745117188</v>
      </c>
      <c r="H124">
        <f>SQRT(Sayfa1!D124^2+Sayfa1!E124^2)</f>
        <v>2.5930436279569418</v>
      </c>
      <c r="I124">
        <f>SUM(Sayfa1!G101:G124)</f>
        <v>0</v>
      </c>
    </row>
    <row r="125" spans="1:9" x14ac:dyDescent="0.3">
      <c r="A125">
        <v>-118.5</v>
      </c>
      <c r="B125">
        <v>34</v>
      </c>
      <c r="C125">
        <v>2025</v>
      </c>
      <c r="D125">
        <v>1</v>
      </c>
      <c r="E125">
        <v>6</v>
      </c>
      <c r="F125">
        <f>Sayfa1!C125-273.15</f>
        <v>20.489404296875023</v>
      </c>
      <c r="G125">
        <v>33.847244262695313</v>
      </c>
      <c r="H125">
        <f>SQRT(Sayfa1!D125^2+Sayfa1!E125^2)</f>
        <v>2.146427531754477</v>
      </c>
      <c r="I125">
        <f>SUM(Sayfa1!G102:G125)</f>
        <v>0</v>
      </c>
    </row>
    <row r="126" spans="1:9" x14ac:dyDescent="0.3">
      <c r="A126">
        <v>-118.5</v>
      </c>
      <c r="B126">
        <v>34</v>
      </c>
      <c r="C126">
        <v>2025</v>
      </c>
      <c r="D126">
        <v>1</v>
      </c>
      <c r="E126">
        <v>6</v>
      </c>
      <c r="F126">
        <f>Sayfa1!C126-273.15</f>
        <v>20.332971191406273</v>
      </c>
      <c r="G126">
        <v>36.4306640625</v>
      </c>
      <c r="H126">
        <f>SQRT(Sayfa1!D126^2+Sayfa1!E126^2)</f>
        <v>2.059721208919036</v>
      </c>
      <c r="I126">
        <f>SUM(Sayfa1!G103:G126)</f>
        <v>0</v>
      </c>
    </row>
    <row r="127" spans="1:9" x14ac:dyDescent="0.3">
      <c r="A127">
        <v>-118.5</v>
      </c>
      <c r="B127">
        <v>34</v>
      </c>
      <c r="C127">
        <v>2025</v>
      </c>
      <c r="D127">
        <v>1</v>
      </c>
      <c r="E127">
        <v>6</v>
      </c>
      <c r="F127">
        <f>Sayfa1!C127-273.15</f>
        <v>20.282159423828148</v>
      </c>
      <c r="G127">
        <v>39.1143798828125</v>
      </c>
      <c r="H127">
        <f>SQRT(Sayfa1!D127^2+Sayfa1!E127^2)</f>
        <v>2.008332592980957</v>
      </c>
      <c r="I127">
        <f>SUM(Sayfa1!G104:G127)</f>
        <v>0</v>
      </c>
    </row>
    <row r="128" spans="1:9" x14ac:dyDescent="0.3">
      <c r="A128">
        <v>-118.5</v>
      </c>
      <c r="B128">
        <v>34</v>
      </c>
      <c r="C128">
        <v>2025</v>
      </c>
      <c r="D128">
        <v>1</v>
      </c>
      <c r="E128">
        <v>6</v>
      </c>
      <c r="F128">
        <f>Sayfa1!C128-273.15</f>
        <v>20.203057861328148</v>
      </c>
      <c r="G128">
        <v>39.785064697265625</v>
      </c>
      <c r="H128">
        <f>SQRT(Sayfa1!D128^2+Sayfa1!E128^2)</f>
        <v>2.0135023405176304</v>
      </c>
      <c r="I128">
        <f>SUM(Sayfa1!G105:G128)</f>
        <v>0</v>
      </c>
    </row>
    <row r="129" spans="1:9" x14ac:dyDescent="0.3">
      <c r="A129">
        <v>-118.5</v>
      </c>
      <c r="B129">
        <v>34</v>
      </c>
      <c r="C129">
        <v>2025</v>
      </c>
      <c r="D129">
        <v>1</v>
      </c>
      <c r="E129">
        <v>6</v>
      </c>
      <c r="F129">
        <f>Sayfa1!C129-273.15</f>
        <v>20.115014648437523</v>
      </c>
      <c r="G129">
        <v>39.375762939453125</v>
      </c>
      <c r="H129">
        <f>SQRT(Sayfa1!D129^2+Sayfa1!E129^2)</f>
        <v>2.0014791923207778</v>
      </c>
      <c r="I129">
        <f>SUM(Sayfa1!G106:G129)</f>
        <v>0</v>
      </c>
    </row>
    <row r="130" spans="1:9" x14ac:dyDescent="0.3">
      <c r="A130">
        <v>-118.5</v>
      </c>
      <c r="B130">
        <v>34</v>
      </c>
      <c r="C130">
        <v>2025</v>
      </c>
      <c r="D130">
        <v>1</v>
      </c>
      <c r="E130">
        <v>6</v>
      </c>
      <c r="F130">
        <f>Sayfa1!C130-273.15</f>
        <v>19.919580078125023</v>
      </c>
      <c r="G130">
        <v>39.215927124023438</v>
      </c>
      <c r="H130">
        <f>SQRT(Sayfa1!D130^2+Sayfa1!E130^2)</f>
        <v>1.9089671023910306</v>
      </c>
      <c r="I130">
        <f>SUM(Sayfa1!G107:G130)</f>
        <v>0</v>
      </c>
    </row>
    <row r="131" spans="1:9" x14ac:dyDescent="0.3">
      <c r="A131">
        <v>-118.5</v>
      </c>
      <c r="B131">
        <v>34</v>
      </c>
      <c r="C131">
        <v>2025</v>
      </c>
      <c r="D131">
        <v>1</v>
      </c>
      <c r="E131">
        <v>6</v>
      </c>
      <c r="F131">
        <f>Sayfa1!C131-273.15</f>
        <v>19.659509277343773</v>
      </c>
      <c r="G131">
        <v>39.371261596679688</v>
      </c>
      <c r="H131">
        <f>SQRT(Sayfa1!D131^2+Sayfa1!E131^2)</f>
        <v>2.042886918021825</v>
      </c>
      <c r="I131">
        <f>SUM(Sayfa1!G108:G131)</f>
        <v>0</v>
      </c>
    </row>
    <row r="132" spans="1:9" x14ac:dyDescent="0.3">
      <c r="A132">
        <v>-118.5</v>
      </c>
      <c r="B132">
        <v>34</v>
      </c>
      <c r="C132">
        <v>2025</v>
      </c>
      <c r="D132">
        <v>1</v>
      </c>
      <c r="E132">
        <v>6</v>
      </c>
      <c r="F132">
        <f>Sayfa1!C132-273.15</f>
        <v>19.310693359375023</v>
      </c>
      <c r="G132">
        <v>40.191452026367188</v>
      </c>
      <c r="H132">
        <f>SQRT(Sayfa1!D132^2+Sayfa1!E132^2)</f>
        <v>1.8462042850331712</v>
      </c>
      <c r="I132">
        <f>SUM(Sayfa1!G109:G132)</f>
        <v>0</v>
      </c>
    </row>
    <row r="133" spans="1:9" x14ac:dyDescent="0.3">
      <c r="A133">
        <v>-118.5</v>
      </c>
      <c r="B133">
        <v>34</v>
      </c>
      <c r="C133">
        <v>2025</v>
      </c>
      <c r="D133">
        <v>1</v>
      </c>
      <c r="E133">
        <v>6</v>
      </c>
      <c r="F133">
        <f>Sayfa1!C133-273.15</f>
        <v>19.036523437500023</v>
      </c>
      <c r="G133">
        <v>41.0362548828125</v>
      </c>
      <c r="H133">
        <f>SQRT(Sayfa1!D133^2+Sayfa1!E133^2)</f>
        <v>2.1399090633529858</v>
      </c>
      <c r="I133">
        <f>SUM(Sayfa1!G110:G133)</f>
        <v>0</v>
      </c>
    </row>
    <row r="134" spans="1:9" x14ac:dyDescent="0.3">
      <c r="A134">
        <v>-118.5</v>
      </c>
      <c r="B134">
        <v>34</v>
      </c>
      <c r="C134">
        <v>2025</v>
      </c>
      <c r="D134">
        <v>1</v>
      </c>
      <c r="E134">
        <v>6</v>
      </c>
      <c r="F134">
        <f>Sayfa1!C134-273.15</f>
        <v>19.011132812500023</v>
      </c>
      <c r="G134">
        <v>41.770401000976563</v>
      </c>
      <c r="H134">
        <f>SQRT(Sayfa1!D134^2+Sayfa1!E134^2)</f>
        <v>1.8976428386596931</v>
      </c>
      <c r="I134">
        <f>SUM(Sayfa1!G111:G134)</f>
        <v>0</v>
      </c>
    </row>
    <row r="135" spans="1:9" x14ac:dyDescent="0.3">
      <c r="A135">
        <v>-118.5</v>
      </c>
      <c r="B135">
        <v>34</v>
      </c>
      <c r="C135">
        <v>2025</v>
      </c>
      <c r="D135">
        <v>1</v>
      </c>
      <c r="E135">
        <v>6</v>
      </c>
      <c r="F135">
        <f>Sayfa1!C135-273.15</f>
        <v>18.828149414062523</v>
      </c>
      <c r="G135">
        <v>43.715957641601563</v>
      </c>
      <c r="H135">
        <f>SQRT(Sayfa1!D135^2+Sayfa1!E135^2)</f>
        <v>2.035937508528999</v>
      </c>
      <c r="I135">
        <f>SUM(Sayfa1!G112:G135)</f>
        <v>0</v>
      </c>
    </row>
    <row r="136" spans="1:9" x14ac:dyDescent="0.3">
      <c r="A136">
        <v>-118.5</v>
      </c>
      <c r="B136">
        <v>34</v>
      </c>
      <c r="C136">
        <v>2025</v>
      </c>
      <c r="D136">
        <v>1</v>
      </c>
      <c r="E136">
        <v>6</v>
      </c>
      <c r="F136">
        <f>Sayfa1!C136-273.15</f>
        <v>18.890283203125023</v>
      </c>
      <c r="G136">
        <v>44.846908569335938</v>
      </c>
      <c r="H136">
        <f>SQRT(Sayfa1!D136^2+Sayfa1!E136^2)</f>
        <v>2.1738514096198904</v>
      </c>
      <c r="I136">
        <f>SUM(Sayfa1!G113:G136)</f>
        <v>0</v>
      </c>
    </row>
    <row r="137" spans="1:9" x14ac:dyDescent="0.3">
      <c r="A137">
        <v>-118.5</v>
      </c>
      <c r="B137">
        <v>34</v>
      </c>
      <c r="C137">
        <v>2025</v>
      </c>
      <c r="D137">
        <v>1</v>
      </c>
      <c r="E137">
        <v>6</v>
      </c>
      <c r="F137">
        <f>Sayfa1!C137-273.15</f>
        <v>18.829492187500023</v>
      </c>
      <c r="G137">
        <v>46.117874145507813</v>
      </c>
      <c r="H137">
        <f>SQRT(Sayfa1!D137^2+Sayfa1!E137^2)</f>
        <v>1.7992279274898364</v>
      </c>
      <c r="I137">
        <f>SUM(Sayfa1!G114:G137)</f>
        <v>0</v>
      </c>
    </row>
    <row r="138" spans="1:9" x14ac:dyDescent="0.3">
      <c r="A138">
        <v>-118.5</v>
      </c>
      <c r="B138">
        <v>34</v>
      </c>
      <c r="C138">
        <v>2025</v>
      </c>
      <c r="D138">
        <v>1</v>
      </c>
      <c r="E138">
        <v>6</v>
      </c>
      <c r="F138">
        <f>Sayfa1!C138-273.15</f>
        <v>18.363671875000023</v>
      </c>
      <c r="G138">
        <v>44.547454833984375</v>
      </c>
      <c r="H138">
        <f>SQRT(Sayfa1!D138^2+Sayfa1!E138^2)</f>
        <v>1.3077205132998291</v>
      </c>
      <c r="I138">
        <f>SUM(Sayfa1!G115:G138)</f>
        <v>0</v>
      </c>
    </row>
    <row r="139" spans="1:9" x14ac:dyDescent="0.3">
      <c r="A139">
        <v>-118.5</v>
      </c>
      <c r="B139">
        <v>34</v>
      </c>
      <c r="C139">
        <v>2025</v>
      </c>
      <c r="D139">
        <v>1</v>
      </c>
      <c r="E139">
        <v>6</v>
      </c>
      <c r="F139">
        <f>Sayfa1!C139-273.15</f>
        <v>17.876855468750023</v>
      </c>
      <c r="G139">
        <v>37.3243408203125</v>
      </c>
      <c r="H139">
        <f>SQRT(Sayfa1!D139^2+Sayfa1!E139^2)</f>
        <v>0.9966176862800652</v>
      </c>
      <c r="I139">
        <f>SUM(Sayfa1!G116:G139)</f>
        <v>0</v>
      </c>
    </row>
    <row r="140" spans="1:9" x14ac:dyDescent="0.3">
      <c r="A140">
        <v>-118.5</v>
      </c>
      <c r="B140">
        <v>34</v>
      </c>
      <c r="C140">
        <v>2025</v>
      </c>
      <c r="D140">
        <v>1</v>
      </c>
      <c r="E140">
        <v>6</v>
      </c>
      <c r="F140">
        <f>Sayfa1!C140-273.15</f>
        <v>17.466210937500023</v>
      </c>
      <c r="G140">
        <v>28.566192626953125</v>
      </c>
      <c r="H140">
        <f>SQRT(Sayfa1!D140^2+Sayfa1!E140^2)</f>
        <v>0.75681330739305153</v>
      </c>
      <c r="I140">
        <f>SUM(Sayfa1!G117:G140)</f>
        <v>0</v>
      </c>
    </row>
    <row r="141" spans="1:9" x14ac:dyDescent="0.3">
      <c r="A141">
        <v>-118.5</v>
      </c>
      <c r="B141">
        <v>34</v>
      </c>
      <c r="C141">
        <v>2025</v>
      </c>
      <c r="D141">
        <v>1</v>
      </c>
      <c r="E141">
        <v>6</v>
      </c>
      <c r="F141">
        <f>Sayfa1!C141-273.15</f>
        <v>18.703271484375023</v>
      </c>
      <c r="G141">
        <v>22.539886474609375</v>
      </c>
      <c r="H141">
        <f>SQRT(Sayfa1!D141^2+Sayfa1!E141^2)</f>
        <v>0.256993425424699</v>
      </c>
      <c r="I141">
        <f>SUM(Sayfa1!G118:G141)</f>
        <v>0</v>
      </c>
    </row>
    <row r="142" spans="1:9" x14ac:dyDescent="0.3">
      <c r="A142">
        <v>-118.5</v>
      </c>
      <c r="B142">
        <v>34</v>
      </c>
      <c r="C142">
        <v>2025</v>
      </c>
      <c r="D142">
        <v>1</v>
      </c>
      <c r="E142">
        <v>6</v>
      </c>
      <c r="F142">
        <f>Sayfa1!C142-273.15</f>
        <v>19.864282226562523</v>
      </c>
      <c r="G142">
        <v>21.052108764648438</v>
      </c>
      <c r="H142">
        <f>SQRT(Sayfa1!D142^2+Sayfa1!E142^2)</f>
        <v>1.5911839476733911</v>
      </c>
      <c r="I142">
        <f>SUM(Sayfa1!G119:G142)</f>
        <v>0</v>
      </c>
    </row>
    <row r="143" spans="1:9" x14ac:dyDescent="0.3">
      <c r="A143">
        <v>-118.5</v>
      </c>
      <c r="B143">
        <v>34</v>
      </c>
      <c r="C143">
        <v>2025</v>
      </c>
      <c r="D143">
        <v>1</v>
      </c>
      <c r="E143">
        <v>6</v>
      </c>
      <c r="F143">
        <f>Sayfa1!C143-273.15</f>
        <v>20.292626953125023</v>
      </c>
      <c r="G143">
        <v>22.32562255859375</v>
      </c>
      <c r="H143">
        <f>SQRT(Sayfa1!D143^2+Sayfa1!E143^2)</f>
        <v>2.5033228028186745</v>
      </c>
      <c r="I143">
        <f>SUM(Sayfa1!G120:G143)</f>
        <v>0</v>
      </c>
    </row>
    <row r="144" spans="1:9" x14ac:dyDescent="0.3">
      <c r="A144">
        <v>-118.5</v>
      </c>
      <c r="B144">
        <v>34</v>
      </c>
      <c r="C144">
        <v>2025</v>
      </c>
      <c r="D144">
        <v>1</v>
      </c>
      <c r="E144">
        <v>6</v>
      </c>
      <c r="F144">
        <f>Sayfa1!C144-273.15</f>
        <v>19.814477539062523</v>
      </c>
      <c r="G144">
        <v>28.2333984375</v>
      </c>
      <c r="H144">
        <f>SQRT(Sayfa1!D144^2+Sayfa1!E144^2)</f>
        <v>2.9840567652637064</v>
      </c>
      <c r="I144">
        <f>SUM(Sayfa1!G121:G144)</f>
        <v>0</v>
      </c>
    </row>
    <row r="145" spans="1:9" x14ac:dyDescent="0.3">
      <c r="A145">
        <v>-118.5</v>
      </c>
      <c r="B145">
        <v>34</v>
      </c>
      <c r="C145">
        <v>2025</v>
      </c>
      <c r="D145">
        <v>1</v>
      </c>
      <c r="E145">
        <v>6</v>
      </c>
      <c r="F145">
        <f>Sayfa1!C145-273.15</f>
        <v>19.451562500000023</v>
      </c>
      <c r="G145">
        <v>31.109893798828125</v>
      </c>
      <c r="H145">
        <f>SQRT(Sayfa1!D145^2+Sayfa1!E145^2)</f>
        <v>2.6939460691647188</v>
      </c>
      <c r="I145">
        <f>SUM(Sayfa1!G122:G145)</f>
        <v>0</v>
      </c>
    </row>
    <row r="146" spans="1:9" x14ac:dyDescent="0.3">
      <c r="A146">
        <v>-118.5</v>
      </c>
      <c r="B146">
        <v>34</v>
      </c>
      <c r="C146">
        <v>2025</v>
      </c>
      <c r="D146">
        <v>1</v>
      </c>
      <c r="E146">
        <v>7</v>
      </c>
      <c r="F146">
        <f>Sayfa1!C146-273.15</f>
        <v>18.375878906250023</v>
      </c>
      <c r="G146">
        <v>38.267562866210938</v>
      </c>
      <c r="H146">
        <f>SQRT(Sayfa1!D146^2+Sayfa1!E146^2)</f>
        <v>2.6339148614081522</v>
      </c>
      <c r="I146">
        <f>SUM(Sayfa1!G123:G146)</f>
        <v>0</v>
      </c>
    </row>
    <row r="147" spans="1:9" x14ac:dyDescent="0.3">
      <c r="A147">
        <v>-118.5</v>
      </c>
      <c r="B147">
        <v>34</v>
      </c>
      <c r="C147">
        <v>2025</v>
      </c>
      <c r="D147">
        <v>1</v>
      </c>
      <c r="E147">
        <v>7</v>
      </c>
      <c r="F147">
        <f>Sayfa1!C147-273.15</f>
        <v>17.351220703125023</v>
      </c>
      <c r="G147">
        <v>47.420120239257813</v>
      </c>
      <c r="H147">
        <f>SQRT(Sayfa1!D147^2+Sayfa1!E147^2)</f>
        <v>1.5515858222998762</v>
      </c>
      <c r="I147">
        <f>SUM(Sayfa1!G124:G147)</f>
        <v>0</v>
      </c>
    </row>
    <row r="148" spans="1:9" x14ac:dyDescent="0.3">
      <c r="A148">
        <v>-118.5</v>
      </c>
      <c r="B148">
        <v>34</v>
      </c>
      <c r="C148">
        <v>2025</v>
      </c>
      <c r="D148">
        <v>1</v>
      </c>
      <c r="E148">
        <v>7</v>
      </c>
      <c r="F148">
        <f>Sayfa1!C148-273.15</f>
        <v>16.661889648437523</v>
      </c>
      <c r="G148">
        <v>54.87457275390625</v>
      </c>
      <c r="H148">
        <f>SQRT(Sayfa1!D148^2+Sayfa1!E148^2)</f>
        <v>1.6583821535069134</v>
      </c>
      <c r="I148">
        <f>SUM(Sayfa1!G125:G148)</f>
        <v>0</v>
      </c>
    </row>
    <row r="149" spans="1:9" x14ac:dyDescent="0.3">
      <c r="A149">
        <v>-118.5</v>
      </c>
      <c r="B149">
        <v>34</v>
      </c>
      <c r="C149">
        <v>2025</v>
      </c>
      <c r="D149">
        <v>1</v>
      </c>
      <c r="E149">
        <v>7</v>
      </c>
      <c r="F149">
        <f>Sayfa1!C149-273.15</f>
        <v>16.133447265625023</v>
      </c>
      <c r="G149">
        <v>61.092987060546875</v>
      </c>
      <c r="H149">
        <f>SQRT(Sayfa1!D149^2+Sayfa1!E149^2)</f>
        <v>1.6529269753941749</v>
      </c>
      <c r="I149">
        <f>SUM(Sayfa1!G126:G149)</f>
        <v>0</v>
      </c>
    </row>
    <row r="150" spans="1:9" x14ac:dyDescent="0.3">
      <c r="A150">
        <v>-118.5</v>
      </c>
      <c r="B150">
        <v>34</v>
      </c>
      <c r="C150">
        <v>2025</v>
      </c>
      <c r="D150">
        <v>1</v>
      </c>
      <c r="E150">
        <v>7</v>
      </c>
      <c r="F150">
        <f>Sayfa1!C150-273.15</f>
        <v>15.667382812500023</v>
      </c>
      <c r="G150">
        <v>65.706893920898438</v>
      </c>
      <c r="H150">
        <f>SQRT(Sayfa1!D150^2+Sayfa1!E150^2)</f>
        <v>1.6727724876409575</v>
      </c>
      <c r="I150">
        <f>SUM(Sayfa1!G127:G150)</f>
        <v>0</v>
      </c>
    </row>
    <row r="151" spans="1:9" x14ac:dyDescent="0.3">
      <c r="A151">
        <v>-118.5</v>
      </c>
      <c r="B151">
        <v>34</v>
      </c>
      <c r="C151">
        <v>2025</v>
      </c>
      <c r="D151">
        <v>1</v>
      </c>
      <c r="E151">
        <v>7</v>
      </c>
      <c r="F151">
        <f>Sayfa1!C151-273.15</f>
        <v>15.462304687500023</v>
      </c>
      <c r="G151">
        <v>69.275238037109375</v>
      </c>
      <c r="H151">
        <f>SQRT(Sayfa1!D151^2+Sayfa1!E151^2)</f>
        <v>1.7660002110634856</v>
      </c>
      <c r="I151">
        <f>SUM(Sayfa1!G128:G151)</f>
        <v>0</v>
      </c>
    </row>
    <row r="152" spans="1:9" x14ac:dyDescent="0.3">
      <c r="A152">
        <v>-118.5</v>
      </c>
      <c r="B152">
        <v>34</v>
      </c>
      <c r="C152">
        <v>2025</v>
      </c>
      <c r="D152">
        <v>1</v>
      </c>
      <c r="E152">
        <v>7</v>
      </c>
      <c r="F152">
        <f>Sayfa1!C152-273.15</f>
        <v>15.250634765625023</v>
      </c>
      <c r="G152">
        <v>71.14605712890625</v>
      </c>
      <c r="H152">
        <f>SQRT(Sayfa1!D152^2+Sayfa1!E152^2)</f>
        <v>2.0306375892796122</v>
      </c>
      <c r="I152">
        <f>SUM(Sayfa1!G129:G152)</f>
        <v>0</v>
      </c>
    </row>
    <row r="153" spans="1:9" x14ac:dyDescent="0.3">
      <c r="A153">
        <v>-118.5</v>
      </c>
      <c r="B153">
        <v>34</v>
      </c>
      <c r="C153">
        <v>2025</v>
      </c>
      <c r="D153">
        <v>1</v>
      </c>
      <c r="E153">
        <v>7</v>
      </c>
      <c r="F153">
        <f>Sayfa1!C153-273.15</f>
        <v>15.223962402343773</v>
      </c>
      <c r="G153">
        <v>72.42620849609375</v>
      </c>
      <c r="H153">
        <f>SQRT(Sayfa1!D153^2+Sayfa1!E153^2)</f>
        <v>2.5139208659576959</v>
      </c>
      <c r="I153">
        <f>SUM(Sayfa1!G130:G153)</f>
        <v>0</v>
      </c>
    </row>
    <row r="154" spans="1:9" x14ac:dyDescent="0.3">
      <c r="A154">
        <v>-118.5</v>
      </c>
      <c r="B154">
        <v>34</v>
      </c>
      <c r="C154">
        <v>2025</v>
      </c>
      <c r="D154">
        <v>1</v>
      </c>
      <c r="E154">
        <v>7</v>
      </c>
      <c r="F154">
        <f>Sayfa1!C154-273.15</f>
        <v>15.164697265625023</v>
      </c>
      <c r="G154">
        <v>73.124404907226563</v>
      </c>
      <c r="H154">
        <f>SQRT(Sayfa1!D154^2+Sayfa1!E154^2)</f>
        <v>2.7325844053860644</v>
      </c>
      <c r="I154">
        <f>SUM(Sayfa1!G131:G154)</f>
        <v>0</v>
      </c>
    </row>
    <row r="155" spans="1:9" x14ac:dyDescent="0.3">
      <c r="A155">
        <v>-118.5</v>
      </c>
      <c r="B155">
        <v>34</v>
      </c>
      <c r="C155">
        <v>2025</v>
      </c>
      <c r="D155">
        <v>1</v>
      </c>
      <c r="E155">
        <v>7</v>
      </c>
      <c r="F155">
        <f>Sayfa1!C155-273.15</f>
        <v>15.049401855468773</v>
      </c>
      <c r="G155">
        <v>73.671859741210938</v>
      </c>
      <c r="H155">
        <f>SQRT(Sayfa1!D155^2+Sayfa1!E155^2)</f>
        <v>2.4986561559441594</v>
      </c>
      <c r="I155">
        <f>SUM(Sayfa1!G132:G155)</f>
        <v>0</v>
      </c>
    </row>
    <row r="156" spans="1:9" x14ac:dyDescent="0.3">
      <c r="A156">
        <v>-118.5</v>
      </c>
      <c r="B156">
        <v>34</v>
      </c>
      <c r="C156">
        <v>2025</v>
      </c>
      <c r="D156">
        <v>1</v>
      </c>
      <c r="E156">
        <v>7</v>
      </c>
      <c r="F156">
        <f>Sayfa1!C156-273.15</f>
        <v>15.698266601562523</v>
      </c>
      <c r="G156">
        <v>66.7425537109375</v>
      </c>
      <c r="H156">
        <f>SQRT(Sayfa1!D156^2+Sayfa1!E156^2)</f>
        <v>1.7918907496718921</v>
      </c>
      <c r="I156">
        <f>SUM(Sayfa1!G133:G156)</f>
        <v>0</v>
      </c>
    </row>
    <row r="157" spans="1:9" x14ac:dyDescent="0.3">
      <c r="A157">
        <v>-118.5</v>
      </c>
      <c r="B157">
        <v>34</v>
      </c>
      <c r="C157">
        <v>2025</v>
      </c>
      <c r="D157">
        <v>1</v>
      </c>
      <c r="E157">
        <v>7</v>
      </c>
      <c r="F157">
        <f>Sayfa1!C157-273.15</f>
        <v>15.082421875000023</v>
      </c>
      <c r="G157">
        <v>66.425048828125</v>
      </c>
      <c r="H157">
        <f>SQRT(Sayfa1!D157^2+Sayfa1!E157^2)</f>
        <v>2.768601982698359</v>
      </c>
      <c r="I157">
        <f>SUM(Sayfa1!G134:G157)</f>
        <v>0</v>
      </c>
    </row>
    <row r="158" spans="1:9" x14ac:dyDescent="0.3">
      <c r="A158">
        <v>-118.5</v>
      </c>
      <c r="B158">
        <v>34</v>
      </c>
      <c r="C158">
        <v>2025</v>
      </c>
      <c r="D158">
        <v>1</v>
      </c>
      <c r="E158">
        <v>7</v>
      </c>
      <c r="F158">
        <f>Sayfa1!C158-273.15</f>
        <v>14.882165527343773</v>
      </c>
      <c r="G158">
        <v>63.968856811523438</v>
      </c>
      <c r="H158">
        <f>SQRT(Sayfa1!D158^2+Sayfa1!E158^2)</f>
        <v>3.0006207669280922</v>
      </c>
      <c r="I158">
        <f>SUM(Sayfa1!G135:G158)</f>
        <v>0</v>
      </c>
    </row>
    <row r="159" spans="1:9" x14ac:dyDescent="0.3">
      <c r="A159">
        <v>-118.5</v>
      </c>
      <c r="B159">
        <v>34</v>
      </c>
      <c r="C159">
        <v>2025</v>
      </c>
      <c r="D159">
        <v>1</v>
      </c>
      <c r="E159">
        <v>7</v>
      </c>
      <c r="F159">
        <f>Sayfa1!C159-273.15</f>
        <v>15.109521484375023</v>
      </c>
      <c r="G159">
        <v>61.835418701171875</v>
      </c>
      <c r="H159">
        <f>SQRT(Sayfa1!D159^2+Sayfa1!E159^2)</f>
        <v>3.3287081066660211</v>
      </c>
      <c r="I159">
        <f>SUM(Sayfa1!G136:G159)</f>
        <v>0</v>
      </c>
    </row>
    <row r="160" spans="1:9" x14ac:dyDescent="0.3">
      <c r="A160">
        <v>-118.5</v>
      </c>
      <c r="B160">
        <v>34</v>
      </c>
      <c r="C160">
        <v>2025</v>
      </c>
      <c r="D160">
        <v>1</v>
      </c>
      <c r="E160">
        <v>7</v>
      </c>
      <c r="F160">
        <f>Sayfa1!C160-273.15</f>
        <v>15.065698242187523</v>
      </c>
      <c r="G160">
        <v>58.906524658203125</v>
      </c>
      <c r="H160">
        <f>SQRT(Sayfa1!D160^2+Sayfa1!E160^2)</f>
        <v>3.8783753610477585</v>
      </c>
      <c r="I160">
        <f>SUM(Sayfa1!G137:G160)</f>
        <v>9.5367431640625E-4</v>
      </c>
    </row>
    <row r="161" spans="1:9" x14ac:dyDescent="0.3">
      <c r="A161">
        <v>-118.5</v>
      </c>
      <c r="B161">
        <v>34</v>
      </c>
      <c r="C161">
        <v>2025</v>
      </c>
      <c r="D161">
        <v>1</v>
      </c>
      <c r="E161">
        <v>7</v>
      </c>
      <c r="F161">
        <f>Sayfa1!C161-273.15</f>
        <v>14.879907226562523</v>
      </c>
      <c r="G161">
        <v>52.623886108398438</v>
      </c>
      <c r="H161">
        <f>SQRT(Sayfa1!D161^2+Sayfa1!E161^2)</f>
        <v>4.4543160558818409</v>
      </c>
      <c r="I161">
        <f>SUM(Sayfa1!G138:G161)</f>
        <v>9.5367431640625E-4</v>
      </c>
    </row>
    <row r="162" spans="1:9" x14ac:dyDescent="0.3">
      <c r="A162">
        <v>-118.5</v>
      </c>
      <c r="B162">
        <v>34</v>
      </c>
      <c r="C162">
        <v>2025</v>
      </c>
      <c r="D162">
        <v>1</v>
      </c>
      <c r="E162">
        <v>7</v>
      </c>
      <c r="F162">
        <f>Sayfa1!C162-273.15</f>
        <v>15.060876464843773</v>
      </c>
      <c r="G162">
        <v>42.709884643554688</v>
      </c>
      <c r="H162">
        <f>SQRT(Sayfa1!D162^2+Sayfa1!E162^2)</f>
        <v>5.5106811045581043</v>
      </c>
      <c r="I162">
        <f>SUM(Sayfa1!G139:G162)</f>
        <v>9.5367431640625E-4</v>
      </c>
    </row>
    <row r="163" spans="1:9" x14ac:dyDescent="0.3">
      <c r="A163">
        <v>-118.5</v>
      </c>
      <c r="B163">
        <v>34</v>
      </c>
      <c r="C163">
        <v>2025</v>
      </c>
      <c r="D163">
        <v>1</v>
      </c>
      <c r="E163">
        <v>7</v>
      </c>
      <c r="F163">
        <f>Sayfa1!C163-273.15</f>
        <v>15.502038574218773</v>
      </c>
      <c r="G163">
        <v>37.9957275390625</v>
      </c>
      <c r="H163">
        <f>SQRT(Sayfa1!D163^2+Sayfa1!E163^2)</f>
        <v>6.6537869780010128</v>
      </c>
      <c r="I163">
        <f>SUM(Sayfa1!G140:G163)</f>
        <v>9.5367431640625E-4</v>
      </c>
    </row>
    <row r="164" spans="1:9" x14ac:dyDescent="0.3">
      <c r="A164">
        <v>-118.5</v>
      </c>
      <c r="B164">
        <v>34</v>
      </c>
      <c r="C164">
        <v>2025</v>
      </c>
      <c r="D164">
        <v>1</v>
      </c>
      <c r="E164">
        <v>7</v>
      </c>
      <c r="F164">
        <f>Sayfa1!C164-273.15</f>
        <v>16.399987792968773</v>
      </c>
      <c r="G164">
        <v>36.812591552734375</v>
      </c>
      <c r="H164">
        <f>SQRT(Sayfa1!D164^2+Sayfa1!E164^2)</f>
        <v>7.8185730952460979</v>
      </c>
      <c r="I164">
        <f>SUM(Sayfa1!G141:G164)</f>
        <v>9.5367431640625E-4</v>
      </c>
    </row>
    <row r="165" spans="1:9" x14ac:dyDescent="0.3">
      <c r="A165">
        <v>-118.5</v>
      </c>
      <c r="B165">
        <v>34</v>
      </c>
      <c r="C165">
        <v>2025</v>
      </c>
      <c r="D165">
        <v>1</v>
      </c>
      <c r="E165">
        <v>7</v>
      </c>
      <c r="F165">
        <f>Sayfa1!C165-273.15</f>
        <v>17.493127441406273</v>
      </c>
      <c r="G165">
        <v>34.054214477539063</v>
      </c>
      <c r="H165">
        <f>SQRT(Sayfa1!D165^2+Sayfa1!E165^2)</f>
        <v>7.4753294252616991</v>
      </c>
      <c r="I165">
        <f>SUM(Sayfa1!G142:G165)</f>
        <v>9.5367431640625E-4</v>
      </c>
    </row>
    <row r="166" spans="1:9" x14ac:dyDescent="0.3">
      <c r="A166">
        <v>-118.5</v>
      </c>
      <c r="B166">
        <v>34</v>
      </c>
      <c r="C166">
        <v>2025</v>
      </c>
      <c r="D166">
        <v>1</v>
      </c>
      <c r="E166">
        <v>7</v>
      </c>
      <c r="F166">
        <f>Sayfa1!C166-273.15</f>
        <v>18.563317871093773</v>
      </c>
      <c r="G166">
        <v>28.586181640625</v>
      </c>
      <c r="H166">
        <f>SQRT(Sayfa1!D166^2+Sayfa1!E166^2)</f>
        <v>7.57047011606066</v>
      </c>
      <c r="I166">
        <f>SUM(Sayfa1!G143:G166)</f>
        <v>9.5367431640625E-4</v>
      </c>
    </row>
    <row r="167" spans="1:9" x14ac:dyDescent="0.3">
      <c r="A167">
        <v>-118.5</v>
      </c>
      <c r="B167">
        <v>34</v>
      </c>
      <c r="C167">
        <v>2025</v>
      </c>
      <c r="D167">
        <v>1</v>
      </c>
      <c r="E167">
        <v>7</v>
      </c>
      <c r="F167">
        <f>Sayfa1!C167-273.15</f>
        <v>19.420800781250023</v>
      </c>
      <c r="G167">
        <v>22.547927856445313</v>
      </c>
      <c r="H167">
        <f>SQRT(Sayfa1!D167^2+Sayfa1!E167^2)</f>
        <v>7.7569910567406009</v>
      </c>
      <c r="I167">
        <f>SUM(Sayfa1!G144:G167)</f>
        <v>9.5367431640625E-4</v>
      </c>
    </row>
    <row r="168" spans="1:9" x14ac:dyDescent="0.3">
      <c r="A168">
        <v>-118.5</v>
      </c>
      <c r="B168">
        <v>34</v>
      </c>
      <c r="C168">
        <v>2025</v>
      </c>
      <c r="D168">
        <v>1</v>
      </c>
      <c r="E168">
        <v>7</v>
      </c>
      <c r="F168">
        <f>Sayfa1!C168-273.15</f>
        <v>19.670068359375023</v>
      </c>
      <c r="G168">
        <v>17.616653442382813</v>
      </c>
      <c r="H168">
        <f>SQRT(Sayfa1!D168^2+Sayfa1!E168^2)</f>
        <v>8.5330965211881811</v>
      </c>
      <c r="I168">
        <f>SUM(Sayfa1!G145:G168)</f>
        <v>9.5367431640625E-4</v>
      </c>
    </row>
    <row r="169" spans="1:9" x14ac:dyDescent="0.3">
      <c r="A169">
        <v>-118.5</v>
      </c>
      <c r="B169">
        <v>34</v>
      </c>
      <c r="C169">
        <v>2025</v>
      </c>
      <c r="D169">
        <v>1</v>
      </c>
      <c r="E169">
        <v>7</v>
      </c>
      <c r="F169">
        <f>Sayfa1!C169-273.15</f>
        <v>19.753930664062523</v>
      </c>
      <c r="G169">
        <v>15.712045669555664</v>
      </c>
      <c r="H169">
        <f>SQRT(Sayfa1!D169^2+Sayfa1!E169^2)</f>
        <v>9.0258838755831512</v>
      </c>
      <c r="I169">
        <f>SUM(Sayfa1!G146:G169)</f>
        <v>9.5367431640625E-4</v>
      </c>
    </row>
    <row r="170" spans="1:9" x14ac:dyDescent="0.3">
      <c r="A170">
        <v>-118.5</v>
      </c>
      <c r="B170">
        <v>34</v>
      </c>
      <c r="C170">
        <v>2025</v>
      </c>
      <c r="D170">
        <v>1</v>
      </c>
      <c r="E170">
        <v>8</v>
      </c>
      <c r="F170">
        <f>Sayfa1!C170-273.15</f>
        <v>19.634973144531273</v>
      </c>
      <c r="G170">
        <v>14.474640846252441</v>
      </c>
      <c r="H170">
        <f>SQRT(Sayfa1!D170^2+Sayfa1!E170^2)</f>
        <v>8.0557955756755018</v>
      </c>
      <c r="I170">
        <f>SUM(Sayfa1!G147:G170)</f>
        <v>9.5367431640625E-4</v>
      </c>
    </row>
    <row r="171" spans="1:9" x14ac:dyDescent="0.3">
      <c r="A171">
        <v>-118.5</v>
      </c>
      <c r="B171">
        <v>34</v>
      </c>
      <c r="C171">
        <v>2025</v>
      </c>
      <c r="D171">
        <v>1</v>
      </c>
      <c r="E171">
        <v>8</v>
      </c>
      <c r="F171">
        <f>Sayfa1!C171-273.15</f>
        <v>19.130395507812523</v>
      </c>
      <c r="G171">
        <v>14.354430198669434</v>
      </c>
      <c r="H171">
        <f>SQRT(Sayfa1!D171^2+Sayfa1!E171^2)</f>
        <v>6.989759369180339</v>
      </c>
      <c r="I171">
        <f>SUM(Sayfa1!G148:G171)</f>
        <v>9.5367431640625E-4</v>
      </c>
    </row>
    <row r="172" spans="1:9" x14ac:dyDescent="0.3">
      <c r="A172">
        <v>-118.5</v>
      </c>
      <c r="B172">
        <v>34</v>
      </c>
      <c r="C172">
        <v>2025</v>
      </c>
      <c r="D172">
        <v>1</v>
      </c>
      <c r="E172">
        <v>8</v>
      </c>
      <c r="F172">
        <f>Sayfa1!C172-273.15</f>
        <v>18.423364257812523</v>
      </c>
      <c r="G172">
        <v>15.688948631286621</v>
      </c>
      <c r="H172">
        <f>SQRT(Sayfa1!D172^2+Sayfa1!E172^2)</f>
        <v>7.0790015964261954</v>
      </c>
      <c r="I172">
        <f>SUM(Sayfa1!G149:G172)</f>
        <v>9.5367431640625E-4</v>
      </c>
    </row>
    <row r="173" spans="1:9" x14ac:dyDescent="0.3">
      <c r="A173">
        <v>-118.5</v>
      </c>
      <c r="B173">
        <v>34</v>
      </c>
      <c r="C173">
        <v>2025</v>
      </c>
      <c r="D173">
        <v>1</v>
      </c>
      <c r="E173">
        <v>8</v>
      </c>
      <c r="F173">
        <f>Sayfa1!C173-273.15</f>
        <v>17.812158203125023</v>
      </c>
      <c r="G173">
        <v>16.482875823974609</v>
      </c>
      <c r="H173">
        <f>SQRT(Sayfa1!D173^2+Sayfa1!E173^2)</f>
        <v>7.4654997758684329</v>
      </c>
      <c r="I173">
        <f>SUM(Sayfa1!G150:G173)</f>
        <v>9.5367431640625E-4</v>
      </c>
    </row>
    <row r="174" spans="1:9" x14ac:dyDescent="0.3">
      <c r="A174">
        <v>-118.5</v>
      </c>
      <c r="B174">
        <v>34</v>
      </c>
      <c r="C174">
        <v>2025</v>
      </c>
      <c r="D174">
        <v>1</v>
      </c>
      <c r="E174">
        <v>8</v>
      </c>
      <c r="F174">
        <f>Sayfa1!C174-273.15</f>
        <v>17.234033203125023</v>
      </c>
      <c r="G174">
        <v>16.072055816650391</v>
      </c>
      <c r="H174">
        <f>SQRT(Sayfa1!D174^2+Sayfa1!E174^2)</f>
        <v>8.3534668442741395</v>
      </c>
      <c r="I174">
        <f>SUM(Sayfa1!G151:G174)</f>
        <v>9.5367431640625E-4</v>
      </c>
    </row>
    <row r="175" spans="1:9" x14ac:dyDescent="0.3">
      <c r="A175">
        <v>-118.5</v>
      </c>
      <c r="B175">
        <v>34</v>
      </c>
      <c r="C175">
        <v>2025</v>
      </c>
      <c r="D175">
        <v>1</v>
      </c>
      <c r="E175">
        <v>8</v>
      </c>
      <c r="F175">
        <f>Sayfa1!C175-273.15</f>
        <v>16.669091796875023</v>
      </c>
      <c r="G175">
        <v>15.671236038208008</v>
      </c>
      <c r="H175">
        <f>SQRT(Sayfa1!D175^2+Sayfa1!E175^2)</f>
        <v>9.1972208748275772</v>
      </c>
      <c r="I175">
        <f>SUM(Sayfa1!G152:G175)</f>
        <v>9.5367431640625E-4</v>
      </c>
    </row>
    <row r="176" spans="1:9" x14ac:dyDescent="0.3">
      <c r="A176">
        <v>-118.5</v>
      </c>
      <c r="B176">
        <v>34</v>
      </c>
      <c r="C176">
        <v>2025</v>
      </c>
      <c r="D176">
        <v>1</v>
      </c>
      <c r="E176">
        <v>8</v>
      </c>
      <c r="F176">
        <f>Sayfa1!C176-273.15</f>
        <v>15.971032714843773</v>
      </c>
      <c r="G176">
        <v>15.659865379333496</v>
      </c>
      <c r="H176">
        <f>SQRT(Sayfa1!D176^2+Sayfa1!E176^2)</f>
        <v>9.4509461465460962</v>
      </c>
      <c r="I176">
        <f>SUM(Sayfa1!G153:G176)</f>
        <v>9.5367431640625E-4</v>
      </c>
    </row>
    <row r="177" spans="1:9" x14ac:dyDescent="0.3">
      <c r="A177">
        <v>-118.5</v>
      </c>
      <c r="B177">
        <v>34</v>
      </c>
      <c r="C177">
        <v>2025</v>
      </c>
      <c r="D177">
        <v>1</v>
      </c>
      <c r="E177">
        <v>8</v>
      </c>
      <c r="F177">
        <f>Sayfa1!C177-273.15</f>
        <v>15.348962402343773</v>
      </c>
      <c r="G177">
        <v>15.967514991760254</v>
      </c>
      <c r="H177">
        <f>SQRT(Sayfa1!D177^2+Sayfa1!E177^2)</f>
        <v>9.7255885978334646</v>
      </c>
      <c r="I177">
        <f>SUM(Sayfa1!G154:G177)</f>
        <v>9.5367431640625E-4</v>
      </c>
    </row>
    <row r="178" spans="1:9" x14ac:dyDescent="0.3">
      <c r="A178">
        <v>-118.5</v>
      </c>
      <c r="B178">
        <v>34</v>
      </c>
      <c r="C178">
        <v>2025</v>
      </c>
      <c r="D178">
        <v>1</v>
      </c>
      <c r="E178">
        <v>8</v>
      </c>
      <c r="F178">
        <f>Sayfa1!C178-273.15</f>
        <v>14.901391601562523</v>
      </c>
      <c r="G178">
        <v>16.518962860107422</v>
      </c>
      <c r="H178">
        <f>SQRT(Sayfa1!D178^2+Sayfa1!E178^2)</f>
        <v>9.6719230996250829</v>
      </c>
      <c r="I178">
        <f>SUM(Sayfa1!G155:G178)</f>
        <v>9.5367431640625E-4</v>
      </c>
    </row>
    <row r="179" spans="1:9" x14ac:dyDescent="0.3">
      <c r="A179">
        <v>-118.5</v>
      </c>
      <c r="B179">
        <v>34</v>
      </c>
      <c r="C179">
        <v>2025</v>
      </c>
      <c r="D179">
        <v>1</v>
      </c>
      <c r="E179">
        <v>8</v>
      </c>
      <c r="F179">
        <f>Sayfa1!C179-273.15</f>
        <v>14.529199218750023</v>
      </c>
      <c r="G179">
        <v>17.579982757568359</v>
      </c>
      <c r="H179">
        <f>SQRT(Sayfa1!D179^2+Sayfa1!E179^2)</f>
        <v>9.7599291555035439</v>
      </c>
      <c r="I179">
        <f>SUM(Sayfa1!G156:G179)</f>
        <v>9.5367431640625E-4</v>
      </c>
    </row>
    <row r="180" spans="1:9" x14ac:dyDescent="0.3">
      <c r="A180">
        <v>-118.5</v>
      </c>
      <c r="B180">
        <v>34</v>
      </c>
      <c r="C180">
        <v>2025</v>
      </c>
      <c r="D180">
        <v>1</v>
      </c>
      <c r="E180">
        <v>8</v>
      </c>
      <c r="F180">
        <f>Sayfa1!C180-273.15</f>
        <v>16.448449707031273</v>
      </c>
      <c r="G180">
        <v>15.323986053466797</v>
      </c>
      <c r="H180">
        <f>SQRT(Sayfa1!D180^2+Sayfa1!E180^2)</f>
        <v>9.7450682585161967</v>
      </c>
      <c r="I180">
        <f>SUM(Sayfa1!G157:G180)</f>
        <v>9.5367431640625E-4</v>
      </c>
    </row>
    <row r="181" spans="1:9" x14ac:dyDescent="0.3">
      <c r="A181">
        <v>-118.5</v>
      </c>
      <c r="B181">
        <v>34</v>
      </c>
      <c r="C181">
        <v>2025</v>
      </c>
      <c r="D181">
        <v>1</v>
      </c>
      <c r="E181">
        <v>8</v>
      </c>
      <c r="F181">
        <f>Sayfa1!C181-273.15</f>
        <v>16.539880371093773</v>
      </c>
      <c r="G181">
        <v>14.899922370910645</v>
      </c>
      <c r="H181">
        <f>SQRT(Sayfa1!D181^2+Sayfa1!E181^2)</f>
        <v>9.2146422198810551</v>
      </c>
      <c r="I181">
        <f>SUM(Sayfa1!G158:G181)</f>
        <v>9.5367431640625E-4</v>
      </c>
    </row>
    <row r="182" spans="1:9" x14ac:dyDescent="0.3">
      <c r="A182">
        <v>-118.5</v>
      </c>
      <c r="B182">
        <v>34</v>
      </c>
      <c r="C182">
        <v>2025</v>
      </c>
      <c r="D182">
        <v>1</v>
      </c>
      <c r="E182">
        <v>8</v>
      </c>
      <c r="F182">
        <f>Sayfa1!C182-273.15</f>
        <v>16.593835449218773</v>
      </c>
      <c r="G182">
        <v>14.45102596282959</v>
      </c>
      <c r="H182">
        <f>SQRT(Sayfa1!D182^2+Sayfa1!E182^2)</f>
        <v>7.6577449248093474</v>
      </c>
      <c r="I182">
        <f>SUM(Sayfa1!G159:G182)</f>
        <v>9.5367431640625E-4</v>
      </c>
    </row>
    <row r="183" spans="1:9" x14ac:dyDescent="0.3">
      <c r="A183">
        <v>-118.5</v>
      </c>
      <c r="B183">
        <v>34</v>
      </c>
      <c r="C183">
        <v>2025</v>
      </c>
      <c r="D183">
        <v>1</v>
      </c>
      <c r="E183">
        <v>8</v>
      </c>
      <c r="F183">
        <f>Sayfa1!C183-273.15</f>
        <v>16.371545410156273</v>
      </c>
      <c r="G183">
        <v>14.408390045166016</v>
      </c>
      <c r="H183">
        <f>SQRT(Sayfa1!D183^2+Sayfa1!E183^2)</f>
        <v>6.3457781966152069</v>
      </c>
      <c r="I183">
        <f>SUM(Sayfa1!G160:G183)</f>
        <v>9.5367431640625E-4</v>
      </c>
    </row>
    <row r="184" spans="1:9" x14ac:dyDescent="0.3">
      <c r="A184">
        <v>-118.5</v>
      </c>
      <c r="B184">
        <v>34</v>
      </c>
      <c r="C184">
        <v>2025</v>
      </c>
      <c r="D184">
        <v>1</v>
      </c>
      <c r="E184">
        <v>8</v>
      </c>
      <c r="F184">
        <f>Sayfa1!C184-273.15</f>
        <v>16.084985351562523</v>
      </c>
      <c r="G184">
        <v>14.843916893005371</v>
      </c>
      <c r="H184">
        <f>SQRT(Sayfa1!D184^2+Sayfa1!E184^2)</f>
        <v>5.8959758008682721</v>
      </c>
      <c r="I184">
        <f>SUM(Sayfa1!G161:G184)</f>
        <v>0</v>
      </c>
    </row>
    <row r="185" spans="1:9" x14ac:dyDescent="0.3">
      <c r="A185">
        <v>-118.5</v>
      </c>
      <c r="B185">
        <v>34</v>
      </c>
      <c r="C185">
        <v>2025</v>
      </c>
      <c r="D185">
        <v>1</v>
      </c>
      <c r="E185">
        <v>8</v>
      </c>
      <c r="F185">
        <f>Sayfa1!C185-273.15</f>
        <v>15.806298828125023</v>
      </c>
      <c r="G185">
        <v>15.539956092834473</v>
      </c>
      <c r="H185">
        <f>SQRT(Sayfa1!D185^2+Sayfa1!E185^2)</f>
        <v>6.0035712876818152</v>
      </c>
      <c r="I185">
        <f>SUM(Sayfa1!G162:G185)</f>
        <v>0</v>
      </c>
    </row>
    <row r="186" spans="1:9" x14ac:dyDescent="0.3">
      <c r="A186">
        <v>-118.5</v>
      </c>
      <c r="B186">
        <v>34</v>
      </c>
      <c r="C186">
        <v>2025</v>
      </c>
      <c r="D186">
        <v>1</v>
      </c>
      <c r="E186">
        <v>8</v>
      </c>
      <c r="F186">
        <f>Sayfa1!C186-273.15</f>
        <v>15.482690429687523</v>
      </c>
      <c r="G186">
        <v>15.333339691162109</v>
      </c>
      <c r="H186">
        <f>SQRT(Sayfa1!D186^2+Sayfa1!E186^2)</f>
        <v>7.4645181170933324</v>
      </c>
      <c r="I186">
        <f>SUM(Sayfa1!G163:G186)</f>
        <v>0</v>
      </c>
    </row>
    <row r="187" spans="1:9" x14ac:dyDescent="0.3">
      <c r="A187">
        <v>-118.5</v>
      </c>
      <c r="B187">
        <v>34</v>
      </c>
      <c r="C187">
        <v>2025</v>
      </c>
      <c r="D187">
        <v>1</v>
      </c>
      <c r="E187">
        <v>8</v>
      </c>
      <c r="F187">
        <f>Sayfa1!C187-273.15</f>
        <v>15.722802734375023</v>
      </c>
      <c r="G187">
        <v>14.061656951904297</v>
      </c>
      <c r="H187">
        <f>SQRT(Sayfa1!D187^2+Sayfa1!E187^2)</f>
        <v>8.4741782469760505</v>
      </c>
      <c r="I187">
        <f>SUM(Sayfa1!G164:G187)</f>
        <v>0</v>
      </c>
    </row>
    <row r="188" spans="1:9" x14ac:dyDescent="0.3">
      <c r="A188">
        <v>-118.5</v>
      </c>
      <c r="B188">
        <v>34</v>
      </c>
      <c r="C188">
        <v>2025</v>
      </c>
      <c r="D188">
        <v>1</v>
      </c>
      <c r="E188">
        <v>8</v>
      </c>
      <c r="F188">
        <f>Sayfa1!C188-273.15</f>
        <v>16.807031250000023</v>
      </c>
      <c r="G188">
        <v>13.100680351257324</v>
      </c>
      <c r="H188">
        <f>SQRT(Sayfa1!D188^2+Sayfa1!E188^2)</f>
        <v>7.7322948021226132</v>
      </c>
      <c r="I188">
        <f>SUM(Sayfa1!G165:G188)</f>
        <v>0</v>
      </c>
    </row>
    <row r="189" spans="1:9" x14ac:dyDescent="0.3">
      <c r="A189">
        <v>-118.5</v>
      </c>
      <c r="B189">
        <v>34</v>
      </c>
      <c r="C189">
        <v>2025</v>
      </c>
      <c r="D189">
        <v>1</v>
      </c>
      <c r="E189">
        <v>8</v>
      </c>
      <c r="F189">
        <f>Sayfa1!C189-273.15</f>
        <v>17.974145507812523</v>
      </c>
      <c r="G189">
        <v>11.882522583007813</v>
      </c>
      <c r="H189">
        <f>SQRT(Sayfa1!D189^2+Sayfa1!E189^2)</f>
        <v>6.9704824441191207</v>
      </c>
      <c r="I189">
        <f>SUM(Sayfa1!G166:G189)</f>
        <v>0</v>
      </c>
    </row>
    <row r="190" spans="1:9" x14ac:dyDescent="0.3">
      <c r="A190">
        <v>-118.5</v>
      </c>
      <c r="B190">
        <v>34</v>
      </c>
      <c r="C190">
        <v>2025</v>
      </c>
      <c r="D190">
        <v>1</v>
      </c>
      <c r="E190">
        <v>8</v>
      </c>
      <c r="F190">
        <f>Sayfa1!C190-273.15</f>
        <v>18.929833984375023</v>
      </c>
      <c r="G190">
        <v>11.26381778717041</v>
      </c>
      <c r="H190">
        <f>SQRT(Sayfa1!D190^2+Sayfa1!E190^2)</f>
        <v>6.4571856880426024</v>
      </c>
      <c r="I190">
        <f>SUM(Sayfa1!G167:G190)</f>
        <v>0</v>
      </c>
    </row>
    <row r="191" spans="1:9" x14ac:dyDescent="0.3">
      <c r="A191">
        <v>-118.5</v>
      </c>
      <c r="B191">
        <v>34</v>
      </c>
      <c r="C191">
        <v>2025</v>
      </c>
      <c r="D191">
        <v>1</v>
      </c>
      <c r="E191">
        <v>8</v>
      </c>
      <c r="F191">
        <f>Sayfa1!C191-273.15</f>
        <v>19.620874023437523</v>
      </c>
      <c r="G191">
        <v>11.000823974609375</v>
      </c>
      <c r="H191">
        <f>SQRT(Sayfa1!D191^2+Sayfa1!E191^2)</f>
        <v>6.1299511749525211</v>
      </c>
      <c r="I191">
        <f>SUM(Sayfa1!G168:G191)</f>
        <v>0</v>
      </c>
    </row>
    <row r="192" spans="1:9" x14ac:dyDescent="0.3">
      <c r="A192">
        <v>-118.5</v>
      </c>
      <c r="B192">
        <v>34</v>
      </c>
      <c r="C192">
        <v>2025</v>
      </c>
      <c r="D192">
        <v>1</v>
      </c>
      <c r="E192">
        <v>8</v>
      </c>
      <c r="F192">
        <f>Sayfa1!C192-273.15</f>
        <v>20.159326171875023</v>
      </c>
      <c r="G192">
        <v>10.032681465148926</v>
      </c>
      <c r="H192">
        <f>SQRT(Sayfa1!D192^2+Sayfa1!E192^2)</f>
        <v>7.4995439946170368</v>
      </c>
      <c r="I192">
        <f>SUM(Sayfa1!G169:G192)</f>
        <v>0</v>
      </c>
    </row>
    <row r="193" spans="1:9" x14ac:dyDescent="0.3">
      <c r="A193">
        <v>-118.5</v>
      </c>
      <c r="B193">
        <v>34</v>
      </c>
      <c r="C193">
        <v>2025</v>
      </c>
      <c r="D193">
        <v>1</v>
      </c>
      <c r="E193">
        <v>8</v>
      </c>
      <c r="F193">
        <f>Sayfa1!C193-273.15</f>
        <v>20.839868164062523</v>
      </c>
      <c r="G193">
        <v>9.4378881454467773</v>
      </c>
      <c r="H193">
        <f>SQRT(Sayfa1!D193^2+Sayfa1!E193^2)</f>
        <v>6.2843875021648019</v>
      </c>
      <c r="I193">
        <f>SUM(Sayfa1!G170:G193)</f>
        <v>0</v>
      </c>
    </row>
    <row r="194" spans="1:9" x14ac:dyDescent="0.3">
      <c r="A194">
        <v>-118.5</v>
      </c>
      <c r="B194">
        <v>34</v>
      </c>
      <c r="C194">
        <v>2025</v>
      </c>
      <c r="D194">
        <v>1</v>
      </c>
      <c r="E194">
        <v>9</v>
      </c>
      <c r="F194">
        <f>Sayfa1!C194-273.15</f>
        <v>20.974206542968773</v>
      </c>
      <c r="G194">
        <v>8.9489784240722656</v>
      </c>
      <c r="H194">
        <f>SQRT(Sayfa1!D194^2+Sayfa1!E194^2)</f>
        <v>5.8636998499537851</v>
      </c>
      <c r="I194">
        <f>SUM(Sayfa1!G171:G194)</f>
        <v>0</v>
      </c>
    </row>
    <row r="195" spans="1:9" x14ac:dyDescent="0.3">
      <c r="A195">
        <v>-118.5</v>
      </c>
      <c r="B195">
        <v>34</v>
      </c>
      <c r="C195">
        <v>2025</v>
      </c>
      <c r="D195">
        <v>1</v>
      </c>
      <c r="E195">
        <v>9</v>
      </c>
      <c r="F195">
        <f>Sayfa1!C195-273.15</f>
        <v>20.542443847656273</v>
      </c>
      <c r="G195">
        <v>8.8610467910766602</v>
      </c>
      <c r="H195">
        <f>SQRT(Sayfa1!D195^2+Sayfa1!E195^2)</f>
        <v>6.4343550880982292</v>
      </c>
      <c r="I195">
        <f>SUM(Sayfa1!G172:G195)</f>
        <v>0</v>
      </c>
    </row>
    <row r="196" spans="1:9" x14ac:dyDescent="0.3">
      <c r="A196">
        <v>-118.5</v>
      </c>
      <c r="B196">
        <v>34</v>
      </c>
      <c r="C196">
        <v>2025</v>
      </c>
      <c r="D196">
        <v>1</v>
      </c>
      <c r="E196">
        <v>9</v>
      </c>
      <c r="F196">
        <f>Sayfa1!C196-273.15</f>
        <v>19.999353027343773</v>
      </c>
      <c r="G196">
        <v>9.2879781723022461</v>
      </c>
      <c r="H196">
        <f>SQRT(Sayfa1!D196^2+Sayfa1!E196^2)</f>
        <v>6.3083005897009299</v>
      </c>
      <c r="I196">
        <f>SUM(Sayfa1!G173:G196)</f>
        <v>0</v>
      </c>
    </row>
    <row r="197" spans="1:9" x14ac:dyDescent="0.3">
      <c r="A197">
        <v>-118.5</v>
      </c>
      <c r="B197">
        <v>34</v>
      </c>
      <c r="C197">
        <v>2025</v>
      </c>
      <c r="D197">
        <v>1</v>
      </c>
      <c r="E197">
        <v>9</v>
      </c>
      <c r="F197">
        <f>Sayfa1!C197-273.15</f>
        <v>19.584680175781273</v>
      </c>
      <c r="G197">
        <v>11.018435478210449</v>
      </c>
      <c r="H197">
        <f>SQRT(Sayfa1!D197^2+Sayfa1!E197^2)</f>
        <v>5.8181662446822813</v>
      </c>
      <c r="I197">
        <f>SUM(Sayfa1!G174:G197)</f>
        <v>0</v>
      </c>
    </row>
    <row r="198" spans="1:9" x14ac:dyDescent="0.3">
      <c r="A198">
        <v>-118.5</v>
      </c>
      <c r="B198">
        <v>34</v>
      </c>
      <c r="C198">
        <v>2025</v>
      </c>
      <c r="D198">
        <v>1</v>
      </c>
      <c r="E198">
        <v>9</v>
      </c>
      <c r="F198">
        <f>Sayfa1!C198-273.15</f>
        <v>19.283349609375023</v>
      </c>
      <c r="G198">
        <v>13.363996505737305</v>
      </c>
      <c r="H198">
        <f>SQRT(Sayfa1!D198^2+Sayfa1!E198^2)</f>
        <v>5.8764562554647322</v>
      </c>
      <c r="I198">
        <f>SUM(Sayfa1!G175:G198)</f>
        <v>0</v>
      </c>
    </row>
    <row r="199" spans="1:9" x14ac:dyDescent="0.3">
      <c r="A199">
        <v>-118.5</v>
      </c>
      <c r="B199">
        <v>34</v>
      </c>
      <c r="C199">
        <v>2025</v>
      </c>
      <c r="D199">
        <v>1</v>
      </c>
      <c r="E199">
        <v>9</v>
      </c>
      <c r="F199">
        <f>Sayfa1!C199-273.15</f>
        <v>19.081506347656273</v>
      </c>
      <c r="G199">
        <v>15.976871490478516</v>
      </c>
      <c r="H199">
        <f>SQRT(Sayfa1!D199^2+Sayfa1!E199^2)</f>
        <v>5.6930735250087237</v>
      </c>
      <c r="I199">
        <f>SUM(Sayfa1!G176:G199)</f>
        <v>0</v>
      </c>
    </row>
    <row r="200" spans="1:9" x14ac:dyDescent="0.3">
      <c r="A200">
        <v>-118.5</v>
      </c>
      <c r="B200">
        <v>34</v>
      </c>
      <c r="C200">
        <v>2025</v>
      </c>
      <c r="D200">
        <v>1</v>
      </c>
      <c r="E200">
        <v>9</v>
      </c>
      <c r="F200">
        <f>Sayfa1!C200-273.15</f>
        <v>19.037072753906273</v>
      </c>
      <c r="G200">
        <v>18.862297058105469</v>
      </c>
      <c r="H200">
        <f>SQRT(Sayfa1!D200^2+Sayfa1!E200^2)</f>
        <v>5.3000410214236213</v>
      </c>
      <c r="I200">
        <f>SUM(Sayfa1!G177:G200)</f>
        <v>0</v>
      </c>
    </row>
    <row r="201" spans="1:9" x14ac:dyDescent="0.3">
      <c r="A201">
        <v>-118.5</v>
      </c>
      <c r="B201">
        <v>34</v>
      </c>
      <c r="C201">
        <v>2025</v>
      </c>
      <c r="D201">
        <v>1</v>
      </c>
      <c r="E201">
        <v>9</v>
      </c>
      <c r="F201">
        <f>Sayfa1!C201-273.15</f>
        <v>19.057397460937523</v>
      </c>
      <c r="G201">
        <v>21.937252044677734</v>
      </c>
      <c r="H201">
        <f>SQRT(Sayfa1!D201^2+Sayfa1!E201^2)</f>
        <v>4.7943780381355836</v>
      </c>
      <c r="I201">
        <f>SUM(Sayfa1!G178:G201)</f>
        <v>0</v>
      </c>
    </row>
    <row r="202" spans="1:9" x14ac:dyDescent="0.3">
      <c r="A202">
        <v>-118.5</v>
      </c>
      <c r="B202">
        <v>34</v>
      </c>
      <c r="C202">
        <v>2025</v>
      </c>
      <c r="D202">
        <v>1</v>
      </c>
      <c r="E202">
        <v>9</v>
      </c>
      <c r="F202">
        <f>Sayfa1!C202-273.15</f>
        <v>19.088769531250023</v>
      </c>
      <c r="G202">
        <v>24.940410614013672</v>
      </c>
      <c r="H202">
        <f>SQRT(Sayfa1!D202^2+Sayfa1!E202^2)</f>
        <v>4.0700090167568357</v>
      </c>
      <c r="I202">
        <f>SUM(Sayfa1!G179:G202)</f>
        <v>0</v>
      </c>
    </row>
    <row r="203" spans="1:9" x14ac:dyDescent="0.3">
      <c r="A203">
        <v>-118.5</v>
      </c>
      <c r="B203">
        <v>34</v>
      </c>
      <c r="C203">
        <v>2025</v>
      </c>
      <c r="D203">
        <v>1</v>
      </c>
      <c r="E203">
        <v>9</v>
      </c>
      <c r="F203">
        <f>Sayfa1!C203-273.15</f>
        <v>19.040246582031273</v>
      </c>
      <c r="G203">
        <v>26.9366455078125</v>
      </c>
      <c r="H203">
        <f>SQRT(Sayfa1!D203^2+Sayfa1!E203^2)</f>
        <v>3.3389103176235513</v>
      </c>
      <c r="I203">
        <f>SUM(Sayfa1!G180:G203)</f>
        <v>0</v>
      </c>
    </row>
    <row r="204" spans="1:9" x14ac:dyDescent="0.3">
      <c r="A204">
        <v>-118.5</v>
      </c>
      <c r="B204">
        <v>34</v>
      </c>
      <c r="C204">
        <v>2025</v>
      </c>
      <c r="D204">
        <v>1</v>
      </c>
      <c r="E204">
        <v>9</v>
      </c>
      <c r="F204">
        <f>Sayfa1!C204-273.15</f>
        <v>18.372644042968773</v>
      </c>
      <c r="G204">
        <v>28.386774063110352</v>
      </c>
      <c r="H204">
        <f>SQRT(Sayfa1!D204^2+Sayfa1!E204^2)</f>
        <v>2.6729352202841055</v>
      </c>
      <c r="I204">
        <f>SUM(Sayfa1!G181:G204)</f>
        <v>0</v>
      </c>
    </row>
    <row r="205" spans="1:9" x14ac:dyDescent="0.3">
      <c r="A205">
        <v>-118.5</v>
      </c>
      <c r="B205">
        <v>34</v>
      </c>
      <c r="C205">
        <v>2025</v>
      </c>
      <c r="D205">
        <v>1</v>
      </c>
      <c r="E205">
        <v>9</v>
      </c>
      <c r="F205">
        <f>Sayfa1!C205-273.15</f>
        <v>18.141992187500023</v>
      </c>
      <c r="G205">
        <v>29.319833755493164</v>
      </c>
      <c r="H205">
        <f>SQRT(Sayfa1!D205^2+Sayfa1!E205^2)</f>
        <v>2.6688851055029086</v>
      </c>
      <c r="I205">
        <f>SUM(Sayfa1!G182:G205)</f>
        <v>0</v>
      </c>
    </row>
    <row r="206" spans="1:9" x14ac:dyDescent="0.3">
      <c r="A206">
        <v>-118.5</v>
      </c>
      <c r="B206">
        <v>34</v>
      </c>
      <c r="C206">
        <v>2025</v>
      </c>
      <c r="D206">
        <v>1</v>
      </c>
      <c r="E206">
        <v>9</v>
      </c>
      <c r="F206">
        <f>Sayfa1!C206-273.15</f>
        <v>18.037255859375023</v>
      </c>
      <c r="G206">
        <v>30.659069061279297</v>
      </c>
      <c r="H206">
        <f>SQRT(Sayfa1!D206^2+Sayfa1!E206^2)</f>
        <v>2.180364282635153</v>
      </c>
      <c r="I206">
        <f>SUM(Sayfa1!G183:G206)</f>
        <v>0</v>
      </c>
    </row>
    <row r="207" spans="1:9" x14ac:dyDescent="0.3">
      <c r="A207">
        <v>-118.5</v>
      </c>
      <c r="B207">
        <v>34</v>
      </c>
      <c r="C207">
        <v>2025</v>
      </c>
      <c r="D207">
        <v>1</v>
      </c>
      <c r="E207">
        <v>9</v>
      </c>
      <c r="F207">
        <f>Sayfa1!C207-273.15</f>
        <v>17.706201171875023</v>
      </c>
      <c r="G207">
        <v>32.404750823974609</v>
      </c>
      <c r="H207">
        <f>SQRT(Sayfa1!D207^2+Sayfa1!E207^2)</f>
        <v>2.1205807106778365</v>
      </c>
      <c r="I207">
        <f>SUM(Sayfa1!G184:G207)</f>
        <v>0</v>
      </c>
    </row>
    <row r="208" spans="1:9" x14ac:dyDescent="0.3">
      <c r="A208">
        <v>-118.5</v>
      </c>
      <c r="B208">
        <v>34</v>
      </c>
      <c r="C208">
        <v>2025</v>
      </c>
      <c r="D208">
        <v>1</v>
      </c>
      <c r="E208">
        <v>9</v>
      </c>
      <c r="F208">
        <f>Sayfa1!C208-273.15</f>
        <v>17.384790039062523</v>
      </c>
      <c r="G208">
        <v>34.535003662109375</v>
      </c>
      <c r="H208">
        <f>SQRT(Sayfa1!D208^2+Sayfa1!E208^2)</f>
        <v>2.1810910323791202</v>
      </c>
      <c r="I208">
        <f>SUM(Sayfa1!G185:G208)</f>
        <v>0</v>
      </c>
    </row>
    <row r="209" spans="1:9" x14ac:dyDescent="0.3">
      <c r="A209">
        <v>-118.5</v>
      </c>
      <c r="B209">
        <v>34</v>
      </c>
      <c r="C209">
        <v>2025</v>
      </c>
      <c r="D209">
        <v>1</v>
      </c>
      <c r="E209">
        <v>9</v>
      </c>
      <c r="F209">
        <f>Sayfa1!C209-273.15</f>
        <v>17.126367187500023</v>
      </c>
      <c r="G209">
        <v>36.461318969726563</v>
      </c>
      <c r="H209">
        <f>SQRT(Sayfa1!D209^2+Sayfa1!E209^2)</f>
        <v>2.196343031417761</v>
      </c>
      <c r="I209">
        <f>SUM(Sayfa1!G186:G209)</f>
        <v>0</v>
      </c>
    </row>
    <row r="210" spans="1:9" x14ac:dyDescent="0.3">
      <c r="A210">
        <v>-118.5</v>
      </c>
      <c r="B210">
        <v>34</v>
      </c>
      <c r="C210">
        <v>2025</v>
      </c>
      <c r="D210">
        <v>1</v>
      </c>
      <c r="E210">
        <v>9</v>
      </c>
      <c r="F210">
        <f>Sayfa1!C210-273.15</f>
        <v>16.932824707031273</v>
      </c>
      <c r="G210">
        <v>36.428764343261719</v>
      </c>
      <c r="H210">
        <f>SQRT(Sayfa1!D210^2+Sayfa1!E210^2)</f>
        <v>2.1173814737158074</v>
      </c>
      <c r="I210">
        <f>SUM(Sayfa1!G187:G210)</f>
        <v>0</v>
      </c>
    </row>
    <row r="211" spans="1:9" x14ac:dyDescent="0.3">
      <c r="A211">
        <v>-118.5</v>
      </c>
      <c r="B211">
        <v>34</v>
      </c>
      <c r="C211">
        <v>2025</v>
      </c>
      <c r="D211">
        <v>1</v>
      </c>
      <c r="E211">
        <v>9</v>
      </c>
      <c r="F211">
        <f>Sayfa1!C211-273.15</f>
        <v>16.988977050781273</v>
      </c>
      <c r="G211">
        <v>28.854524612426758</v>
      </c>
      <c r="H211">
        <f>SQRT(Sayfa1!D211^2+Sayfa1!E211^2)</f>
        <v>1.8123173779043193</v>
      </c>
      <c r="I211">
        <f>SUM(Sayfa1!G188:G211)</f>
        <v>0</v>
      </c>
    </row>
    <row r="212" spans="1:9" x14ac:dyDescent="0.3">
      <c r="A212">
        <v>-118.5</v>
      </c>
      <c r="B212">
        <v>34</v>
      </c>
      <c r="C212">
        <v>2025</v>
      </c>
      <c r="D212">
        <v>1</v>
      </c>
      <c r="E212">
        <v>9</v>
      </c>
      <c r="F212">
        <f>Sayfa1!C212-273.15</f>
        <v>17.109582519531273</v>
      </c>
      <c r="G212">
        <v>20.276458740234375</v>
      </c>
      <c r="H212">
        <f>SQRT(Sayfa1!D212^2+Sayfa1!E212^2)</f>
        <v>1.8467251027179767</v>
      </c>
      <c r="I212">
        <f>SUM(Sayfa1!G189:G212)</f>
        <v>0</v>
      </c>
    </row>
    <row r="213" spans="1:9" x14ac:dyDescent="0.3">
      <c r="A213">
        <v>-118.5</v>
      </c>
      <c r="B213">
        <v>34</v>
      </c>
      <c r="C213">
        <v>2025</v>
      </c>
      <c r="D213">
        <v>1</v>
      </c>
      <c r="E213">
        <v>9</v>
      </c>
      <c r="F213">
        <f>Sayfa1!C213-273.15</f>
        <v>18.557275390625023</v>
      </c>
      <c r="G213">
        <v>14.127777099609375</v>
      </c>
      <c r="H213">
        <f>SQRT(Sayfa1!D213^2+Sayfa1!E213^2)</f>
        <v>2.1546768102456779</v>
      </c>
      <c r="I213">
        <f>SUM(Sayfa1!G190:G213)</f>
        <v>0</v>
      </c>
    </row>
    <row r="214" spans="1:9" x14ac:dyDescent="0.3">
      <c r="A214">
        <v>-118.5</v>
      </c>
      <c r="B214">
        <v>34</v>
      </c>
      <c r="C214">
        <v>2025</v>
      </c>
      <c r="D214">
        <v>1</v>
      </c>
      <c r="E214">
        <v>9</v>
      </c>
      <c r="F214">
        <f>Sayfa1!C214-273.15</f>
        <v>20.210046386718773</v>
      </c>
      <c r="G214">
        <v>11.858510971069336</v>
      </c>
      <c r="H214">
        <f>SQRT(Sayfa1!D214^2+Sayfa1!E214^2)</f>
        <v>1.734638047903855</v>
      </c>
      <c r="I214">
        <f>SUM(Sayfa1!G191:G214)</f>
        <v>0</v>
      </c>
    </row>
    <row r="215" spans="1:9" x14ac:dyDescent="0.3">
      <c r="A215">
        <v>-118.5</v>
      </c>
      <c r="B215">
        <v>34</v>
      </c>
      <c r="C215">
        <v>2025</v>
      </c>
      <c r="D215">
        <v>1</v>
      </c>
      <c r="E215">
        <v>9</v>
      </c>
      <c r="F215">
        <f>Sayfa1!C215-273.15</f>
        <v>21.270776367187523</v>
      </c>
      <c r="G215">
        <v>10.663232803344727</v>
      </c>
      <c r="H215">
        <f>SQRT(Sayfa1!D215^2+Sayfa1!E215^2)</f>
        <v>1.7108184526588932</v>
      </c>
      <c r="I215">
        <f>SUM(Sayfa1!G192:G215)</f>
        <v>0</v>
      </c>
    </row>
    <row r="216" spans="1:9" x14ac:dyDescent="0.3">
      <c r="A216">
        <v>-118.5</v>
      </c>
      <c r="B216">
        <v>34</v>
      </c>
      <c r="C216">
        <v>2025</v>
      </c>
      <c r="D216">
        <v>1</v>
      </c>
      <c r="E216">
        <v>9</v>
      </c>
      <c r="F216">
        <f>Sayfa1!C216-273.15</f>
        <v>21.296899414062523</v>
      </c>
      <c r="G216">
        <v>11.431376457214355</v>
      </c>
      <c r="H216">
        <f>SQRT(Sayfa1!D216^2+Sayfa1!E216^2)</f>
        <v>1.0107773462575216</v>
      </c>
      <c r="I216">
        <f>SUM(Sayfa1!G193:G216)</f>
        <v>0</v>
      </c>
    </row>
    <row r="217" spans="1:9" x14ac:dyDescent="0.3">
      <c r="A217">
        <v>-118.5</v>
      </c>
      <c r="B217">
        <v>34</v>
      </c>
      <c r="C217">
        <v>2025</v>
      </c>
      <c r="D217">
        <v>1</v>
      </c>
      <c r="E217">
        <v>9</v>
      </c>
      <c r="F217">
        <f>Sayfa1!C217-273.15</f>
        <v>21.049279785156273</v>
      </c>
      <c r="G217">
        <v>14.087847709655762</v>
      </c>
      <c r="H217">
        <f>SQRT(Sayfa1!D217^2+Sayfa1!E217^2)</f>
        <v>1.5523486198778227</v>
      </c>
      <c r="I217">
        <f>SUM(Sayfa1!G194:G217)</f>
        <v>0</v>
      </c>
    </row>
    <row r="218" spans="1:9" x14ac:dyDescent="0.3">
      <c r="A218">
        <v>-118.5</v>
      </c>
      <c r="B218">
        <v>34</v>
      </c>
      <c r="C218">
        <v>2025</v>
      </c>
      <c r="D218">
        <v>1</v>
      </c>
      <c r="E218">
        <v>10</v>
      </c>
      <c r="F218">
        <f>Sayfa1!C218-273.15</f>
        <v>20.656884765625023</v>
      </c>
      <c r="G218">
        <v>17.302881240844727</v>
      </c>
      <c r="H218">
        <f>SQRT(Sayfa1!D218^2+Sayfa1!E218^2)</f>
        <v>1.8854296085414475</v>
      </c>
      <c r="I218">
        <f>SUM(Sayfa1!G195:G218)</f>
        <v>0</v>
      </c>
    </row>
    <row r="219" spans="1:9" x14ac:dyDescent="0.3">
      <c r="A219">
        <v>-118.5</v>
      </c>
      <c r="B219">
        <v>34</v>
      </c>
      <c r="C219">
        <v>2025</v>
      </c>
      <c r="D219">
        <v>1</v>
      </c>
      <c r="E219">
        <v>10</v>
      </c>
      <c r="F219">
        <f>Sayfa1!C219-273.15</f>
        <v>20.510034179687523</v>
      </c>
      <c r="G219">
        <v>17.065620422363281</v>
      </c>
      <c r="H219">
        <f>SQRT(Sayfa1!D219^2+Sayfa1!E219^2)</f>
        <v>2.2535402244145017</v>
      </c>
      <c r="I219">
        <f>SUM(Sayfa1!G196:G219)</f>
        <v>0</v>
      </c>
    </row>
    <row r="220" spans="1:9" x14ac:dyDescent="0.3">
      <c r="A220">
        <v>-118.5</v>
      </c>
      <c r="B220">
        <v>34</v>
      </c>
      <c r="C220">
        <v>2025</v>
      </c>
      <c r="D220">
        <v>1</v>
      </c>
      <c r="E220">
        <v>10</v>
      </c>
      <c r="F220">
        <f>Sayfa1!C220-273.15</f>
        <v>20.458886718750023</v>
      </c>
      <c r="G220">
        <v>16.657161712646484</v>
      </c>
      <c r="H220">
        <f>SQRT(Sayfa1!D220^2+Sayfa1!E220^2)</f>
        <v>2.0393562560323599</v>
      </c>
      <c r="I220">
        <f>SUM(Sayfa1!G197:G220)</f>
        <v>0</v>
      </c>
    </row>
    <row r="221" spans="1:9" x14ac:dyDescent="0.3">
      <c r="A221">
        <v>-118.5</v>
      </c>
      <c r="B221">
        <v>34</v>
      </c>
      <c r="C221">
        <v>2025</v>
      </c>
      <c r="D221">
        <v>1</v>
      </c>
      <c r="E221">
        <v>10</v>
      </c>
      <c r="F221">
        <f>Sayfa1!C221-273.15</f>
        <v>20.643273925781273</v>
      </c>
      <c r="G221">
        <v>15.700093269348145</v>
      </c>
      <c r="H221">
        <f>SQRT(Sayfa1!D221^2+Sayfa1!E221^2)</f>
        <v>2.6389269785336138</v>
      </c>
      <c r="I221">
        <f>SUM(Sayfa1!G198:G221)</f>
        <v>0</v>
      </c>
    </row>
    <row r="222" spans="1:9" x14ac:dyDescent="0.3">
      <c r="A222">
        <v>-118.5</v>
      </c>
      <c r="B222">
        <v>34</v>
      </c>
      <c r="C222">
        <v>2025</v>
      </c>
      <c r="D222">
        <v>1</v>
      </c>
      <c r="E222">
        <v>10</v>
      </c>
      <c r="F222">
        <f>Sayfa1!C222-273.15</f>
        <v>20.723413085937523</v>
      </c>
      <c r="G222">
        <v>14.859679222106934</v>
      </c>
      <c r="H222">
        <f>SQRT(Sayfa1!D222^2+Sayfa1!E222^2)</f>
        <v>3.444845978981085</v>
      </c>
      <c r="I222">
        <f>SUM(Sayfa1!G199:G222)</f>
        <v>0</v>
      </c>
    </row>
    <row r="223" spans="1:9" x14ac:dyDescent="0.3">
      <c r="A223">
        <v>-118.5</v>
      </c>
      <c r="B223">
        <v>34</v>
      </c>
      <c r="C223">
        <v>2025</v>
      </c>
      <c r="D223">
        <v>1</v>
      </c>
      <c r="E223">
        <v>10</v>
      </c>
      <c r="F223">
        <f>Sayfa1!C223-273.15</f>
        <v>20.352075195312523</v>
      </c>
      <c r="G223">
        <v>15.764360427856445</v>
      </c>
      <c r="H223">
        <f>SQRT(Sayfa1!D223^2+Sayfa1!E223^2)</f>
        <v>3.6616805516306776</v>
      </c>
      <c r="I223">
        <f>SUM(Sayfa1!G200:G223)</f>
        <v>0</v>
      </c>
    </row>
    <row r="224" spans="1:9" x14ac:dyDescent="0.3">
      <c r="A224">
        <v>-118.5</v>
      </c>
      <c r="B224">
        <v>34</v>
      </c>
      <c r="C224">
        <v>2025</v>
      </c>
      <c r="D224">
        <v>1</v>
      </c>
      <c r="E224">
        <v>10</v>
      </c>
      <c r="F224">
        <f>Sayfa1!C224-273.15</f>
        <v>20.171044921875023</v>
      </c>
      <c r="G224">
        <v>16.168361663818359</v>
      </c>
      <c r="H224">
        <f>SQRT(Sayfa1!D224^2+Sayfa1!E224^2)</f>
        <v>3.0859160626623527</v>
      </c>
      <c r="I224">
        <f>SUM(Sayfa1!G201:G224)</f>
        <v>0</v>
      </c>
    </row>
    <row r="225" spans="1:9" x14ac:dyDescent="0.3">
      <c r="A225">
        <v>-118.5</v>
      </c>
      <c r="B225">
        <v>34</v>
      </c>
      <c r="C225">
        <v>2025</v>
      </c>
      <c r="D225">
        <v>1</v>
      </c>
      <c r="E225">
        <v>10</v>
      </c>
      <c r="F225">
        <f>Sayfa1!C225-273.15</f>
        <v>19.933435058593773</v>
      </c>
      <c r="G225">
        <v>16.466039657592773</v>
      </c>
      <c r="H225">
        <f>SQRT(Sayfa1!D225^2+Sayfa1!E225^2)</f>
        <v>2.6589350444687097</v>
      </c>
      <c r="I225">
        <f>SUM(Sayfa1!G202:G225)</f>
        <v>0</v>
      </c>
    </row>
    <row r="226" spans="1:9" x14ac:dyDescent="0.3">
      <c r="A226">
        <v>-118.5</v>
      </c>
      <c r="B226">
        <v>34</v>
      </c>
      <c r="C226">
        <v>2025</v>
      </c>
      <c r="D226">
        <v>1</v>
      </c>
      <c r="E226">
        <v>10</v>
      </c>
      <c r="F226">
        <f>Sayfa1!C226-273.15</f>
        <v>19.540307617187523</v>
      </c>
      <c r="G226">
        <v>16.795333862304688</v>
      </c>
      <c r="H226">
        <f>SQRT(Sayfa1!D226^2+Sayfa1!E226^2)</f>
        <v>2.3827329910118364</v>
      </c>
      <c r="I226">
        <f>SUM(Sayfa1!G203:G226)</f>
        <v>0</v>
      </c>
    </row>
    <row r="227" spans="1:9" x14ac:dyDescent="0.3">
      <c r="A227">
        <v>-118.5</v>
      </c>
      <c r="B227">
        <v>34</v>
      </c>
      <c r="C227">
        <v>2025</v>
      </c>
      <c r="D227">
        <v>1</v>
      </c>
      <c r="E227">
        <v>10</v>
      </c>
      <c r="F227">
        <f>Sayfa1!C227-273.15</f>
        <v>19.023156738281273</v>
      </c>
      <c r="G227">
        <v>17.50871467590332</v>
      </c>
      <c r="H227">
        <f>SQRT(Sayfa1!D227^2+Sayfa1!E227^2)</f>
        <v>2.4429331263981533</v>
      </c>
      <c r="I227">
        <f>SUM(Sayfa1!G204:G227)</f>
        <v>0</v>
      </c>
    </row>
    <row r="228" spans="1:9" x14ac:dyDescent="0.3">
      <c r="A228">
        <v>-118.5</v>
      </c>
      <c r="B228">
        <v>34</v>
      </c>
      <c r="C228">
        <v>2025</v>
      </c>
      <c r="D228">
        <v>1</v>
      </c>
      <c r="E228">
        <v>10</v>
      </c>
      <c r="F228">
        <f>Sayfa1!C228-273.15</f>
        <v>19.594018554687523</v>
      </c>
      <c r="G228">
        <v>17.320585250854492</v>
      </c>
      <c r="H228">
        <f>SQRT(Sayfa1!D228^2+Sayfa1!E228^2)</f>
        <v>1.5121626732731306</v>
      </c>
      <c r="I228">
        <f>SUM(Sayfa1!G205:G228)</f>
        <v>0</v>
      </c>
    </row>
    <row r="229" spans="1:9" x14ac:dyDescent="0.3">
      <c r="A229">
        <v>-118.5</v>
      </c>
      <c r="B229">
        <v>34</v>
      </c>
      <c r="C229">
        <v>2025</v>
      </c>
      <c r="D229">
        <v>1</v>
      </c>
      <c r="E229">
        <v>10</v>
      </c>
      <c r="F229">
        <f>Sayfa1!C229-273.15</f>
        <v>18.978173828125023</v>
      </c>
      <c r="G229">
        <v>19.146659851074219</v>
      </c>
      <c r="H229">
        <f>SQRT(Sayfa1!D229^2+Sayfa1!E229^2)</f>
        <v>2.2117836100065089</v>
      </c>
      <c r="I229">
        <f>SUM(Sayfa1!G206:G229)</f>
        <v>0</v>
      </c>
    </row>
    <row r="230" spans="1:9" x14ac:dyDescent="0.3">
      <c r="A230">
        <v>-118.5</v>
      </c>
      <c r="B230">
        <v>34</v>
      </c>
      <c r="C230">
        <v>2025</v>
      </c>
      <c r="D230">
        <v>1</v>
      </c>
      <c r="E230">
        <v>10</v>
      </c>
      <c r="F230">
        <f>Sayfa1!C230-273.15</f>
        <v>18.342187500000023</v>
      </c>
      <c r="G230">
        <v>19.902435302734375</v>
      </c>
      <c r="H230">
        <f>SQRT(Sayfa1!D230^2+Sayfa1!E230^2)</f>
        <v>3.135919422944613</v>
      </c>
      <c r="I230">
        <f>SUM(Sayfa1!G207:G230)</f>
        <v>0</v>
      </c>
    </row>
    <row r="231" spans="1:9" x14ac:dyDescent="0.3">
      <c r="A231">
        <v>-118.5</v>
      </c>
      <c r="B231">
        <v>34</v>
      </c>
      <c r="C231">
        <v>2025</v>
      </c>
      <c r="D231">
        <v>1</v>
      </c>
      <c r="E231">
        <v>10</v>
      </c>
      <c r="F231">
        <f>Sayfa1!C231-273.15</f>
        <v>17.783898925781273</v>
      </c>
      <c r="G231">
        <v>20.595779418945313</v>
      </c>
      <c r="H231">
        <f>SQRT(Sayfa1!D231^2+Sayfa1!E231^2)</f>
        <v>3.5272301030689635</v>
      </c>
      <c r="I231">
        <f>SUM(Sayfa1!G208:G231)</f>
        <v>0</v>
      </c>
    </row>
    <row r="232" spans="1:9" x14ac:dyDescent="0.3">
      <c r="A232">
        <v>-118.5</v>
      </c>
      <c r="B232">
        <v>34</v>
      </c>
      <c r="C232">
        <v>2025</v>
      </c>
      <c r="D232">
        <v>1</v>
      </c>
      <c r="E232">
        <v>10</v>
      </c>
      <c r="F232">
        <f>Sayfa1!C232-273.15</f>
        <v>17.256799316406273</v>
      </c>
      <c r="G232">
        <v>21.87995719909668</v>
      </c>
      <c r="H232">
        <f>SQRT(Sayfa1!D232^2+Sayfa1!E232^2)</f>
        <v>3.4351097046873171</v>
      </c>
      <c r="I232">
        <f>SUM(Sayfa1!G209:G232)</f>
        <v>0</v>
      </c>
    </row>
    <row r="233" spans="1:9" x14ac:dyDescent="0.3">
      <c r="A233">
        <v>-118.5</v>
      </c>
      <c r="B233">
        <v>34</v>
      </c>
      <c r="C233">
        <v>2025</v>
      </c>
      <c r="D233">
        <v>1</v>
      </c>
      <c r="E233">
        <v>10</v>
      </c>
      <c r="F233">
        <f>Sayfa1!C233-273.15</f>
        <v>16.656274414062523</v>
      </c>
      <c r="G233">
        <v>23.98297119140625</v>
      </c>
      <c r="H233">
        <f>SQRT(Sayfa1!D233^2+Sayfa1!E233^2)</f>
        <v>3.4132623595850391</v>
      </c>
      <c r="I233">
        <f>SUM(Sayfa1!G210:G233)</f>
        <v>0</v>
      </c>
    </row>
    <row r="234" spans="1:9" x14ac:dyDescent="0.3">
      <c r="A234">
        <v>-118.5</v>
      </c>
      <c r="B234">
        <v>34</v>
      </c>
      <c r="C234">
        <v>2025</v>
      </c>
      <c r="D234">
        <v>1</v>
      </c>
      <c r="E234">
        <v>10</v>
      </c>
      <c r="F234">
        <f>Sayfa1!C234-273.15</f>
        <v>16.097985839843773</v>
      </c>
      <c r="G234">
        <v>25.225603103637695</v>
      </c>
      <c r="H234">
        <f>SQRT(Sayfa1!D234^2+Sayfa1!E234^2)</f>
        <v>3.4102542371603066</v>
      </c>
      <c r="I234">
        <f>SUM(Sayfa1!G211:G234)</f>
        <v>0</v>
      </c>
    </row>
    <row r="235" spans="1:9" x14ac:dyDescent="0.3">
      <c r="A235">
        <v>-118.5</v>
      </c>
      <c r="B235">
        <v>34</v>
      </c>
      <c r="C235">
        <v>2025</v>
      </c>
      <c r="D235">
        <v>1</v>
      </c>
      <c r="E235">
        <v>10</v>
      </c>
      <c r="F235">
        <f>Sayfa1!C235-273.15</f>
        <v>15.779992675781273</v>
      </c>
      <c r="G235">
        <v>21.288650512695313</v>
      </c>
      <c r="H235">
        <f>SQRT(Sayfa1!D235^2+Sayfa1!E235^2)</f>
        <v>3.0615025630646917</v>
      </c>
      <c r="I235">
        <f>SUM(Sayfa1!G212:G235)</f>
        <v>0</v>
      </c>
    </row>
    <row r="236" spans="1:9" x14ac:dyDescent="0.3">
      <c r="A236">
        <v>-118.5</v>
      </c>
      <c r="B236">
        <v>34</v>
      </c>
      <c r="C236">
        <v>2025</v>
      </c>
      <c r="D236">
        <v>1</v>
      </c>
      <c r="E236">
        <v>10</v>
      </c>
      <c r="F236">
        <f>Sayfa1!C236-273.15</f>
        <v>16.048181152343773</v>
      </c>
      <c r="G236">
        <v>15.976036071777344</v>
      </c>
      <c r="H236">
        <f>SQRT(Sayfa1!D236^2+Sayfa1!E236^2)</f>
        <v>3.0594851911269694</v>
      </c>
      <c r="I236">
        <f>SUM(Sayfa1!G213:G236)</f>
        <v>0</v>
      </c>
    </row>
    <row r="237" spans="1:9" x14ac:dyDescent="0.3">
      <c r="A237">
        <v>-118.5</v>
      </c>
      <c r="B237">
        <v>34</v>
      </c>
      <c r="C237">
        <v>2025</v>
      </c>
      <c r="D237">
        <v>1</v>
      </c>
      <c r="E237">
        <v>10</v>
      </c>
      <c r="F237">
        <f>Sayfa1!C237-273.15</f>
        <v>17.222070312500023</v>
      </c>
      <c r="G237">
        <v>13.733105659484863</v>
      </c>
      <c r="H237">
        <f>SQRT(Sayfa1!D237^2+Sayfa1!E237^2)</f>
        <v>2.7355049583384243</v>
      </c>
      <c r="I237">
        <f>SUM(Sayfa1!G214:G237)</f>
        <v>0</v>
      </c>
    </row>
    <row r="238" spans="1:9" x14ac:dyDescent="0.3">
      <c r="A238">
        <v>-118.5</v>
      </c>
      <c r="B238">
        <v>34</v>
      </c>
      <c r="C238">
        <v>2025</v>
      </c>
      <c r="D238">
        <v>1</v>
      </c>
      <c r="E238">
        <v>10</v>
      </c>
      <c r="F238">
        <f>Sayfa1!C238-273.15</f>
        <v>18.651452636718773</v>
      </c>
      <c r="G238">
        <v>11.850124359130859</v>
      </c>
      <c r="H238">
        <f>SQRT(Sayfa1!D238^2+Sayfa1!E238^2)</f>
        <v>1.7068594060015125</v>
      </c>
      <c r="I238">
        <f>SUM(Sayfa1!G215:G238)</f>
        <v>0</v>
      </c>
    </row>
    <row r="239" spans="1:9" x14ac:dyDescent="0.3">
      <c r="A239">
        <v>-118.5</v>
      </c>
      <c r="B239">
        <v>34</v>
      </c>
      <c r="C239">
        <v>2025</v>
      </c>
      <c r="D239">
        <v>1</v>
      </c>
      <c r="E239">
        <v>10</v>
      </c>
      <c r="F239">
        <f>Sayfa1!C239-273.15</f>
        <v>19.592614746093773</v>
      </c>
      <c r="G239">
        <v>10.606340408325195</v>
      </c>
      <c r="H239">
        <f>SQRT(Sayfa1!D239^2+Sayfa1!E239^2)</f>
        <v>1.0682657713394301</v>
      </c>
      <c r="I239">
        <f>SUM(Sayfa1!G216:G239)</f>
        <v>0</v>
      </c>
    </row>
    <row r="240" spans="1:9" x14ac:dyDescent="0.3">
      <c r="A240">
        <v>-118.5</v>
      </c>
      <c r="B240">
        <v>34</v>
      </c>
      <c r="C240">
        <v>2025</v>
      </c>
      <c r="D240">
        <v>1</v>
      </c>
      <c r="E240">
        <v>10</v>
      </c>
      <c r="F240">
        <f>Sayfa1!C240-273.15</f>
        <v>18.936669921875023</v>
      </c>
      <c r="G240">
        <v>11.631781578063965</v>
      </c>
      <c r="H240">
        <f>SQRT(Sayfa1!D240^2+Sayfa1!E240^2)</f>
        <v>1.4304902938698874</v>
      </c>
      <c r="I240">
        <f>SUM(Sayfa1!G217:G240)</f>
        <v>0</v>
      </c>
    </row>
    <row r="241" spans="1:9" x14ac:dyDescent="0.3">
      <c r="A241">
        <v>-118.5</v>
      </c>
      <c r="B241">
        <v>34</v>
      </c>
      <c r="C241">
        <v>2025</v>
      </c>
      <c r="D241">
        <v>1</v>
      </c>
      <c r="E241">
        <v>10</v>
      </c>
      <c r="F241">
        <f>Sayfa1!C241-273.15</f>
        <v>18.943505859375023</v>
      </c>
      <c r="G241">
        <v>13.313564300537109</v>
      </c>
      <c r="H241">
        <f>SQRT(Sayfa1!D241^2+Sayfa1!E241^2)</f>
        <v>2.8567868865613844</v>
      </c>
      <c r="I241">
        <f>SUM(Sayfa1!G218:G241)</f>
        <v>0</v>
      </c>
    </row>
    <row r="242" spans="1:9" x14ac:dyDescent="0.3">
      <c r="A242">
        <v>-118.5</v>
      </c>
      <c r="B242">
        <v>34</v>
      </c>
      <c r="C242">
        <v>2025</v>
      </c>
      <c r="D242">
        <v>1</v>
      </c>
      <c r="E242">
        <v>11</v>
      </c>
      <c r="F242">
        <f>Sayfa1!C242-273.15</f>
        <v>18.355737304687523</v>
      </c>
      <c r="G242">
        <v>17.349617004394531</v>
      </c>
      <c r="H242">
        <f>SQRT(Sayfa1!D242^2+Sayfa1!E242^2)</f>
        <v>3.8930872666984109</v>
      </c>
      <c r="I242">
        <f>SUM(Sayfa1!G219:G242)</f>
        <v>0</v>
      </c>
    </row>
    <row r="243" spans="1:9" x14ac:dyDescent="0.3">
      <c r="A243">
        <v>-118.5</v>
      </c>
      <c r="B243">
        <v>34</v>
      </c>
      <c r="C243">
        <v>2025</v>
      </c>
      <c r="D243">
        <v>1</v>
      </c>
      <c r="E243">
        <v>11</v>
      </c>
      <c r="F243">
        <f>Sayfa1!C243-273.15</f>
        <v>17.534692382812523</v>
      </c>
      <c r="G243">
        <v>21.143444061279297</v>
      </c>
      <c r="H243">
        <f>SQRT(Sayfa1!D243^2+Sayfa1!E243^2)</f>
        <v>4.5931430736495216</v>
      </c>
      <c r="I243">
        <f>SUM(Sayfa1!G220:G243)</f>
        <v>0</v>
      </c>
    </row>
    <row r="244" spans="1:9" x14ac:dyDescent="0.3">
      <c r="A244">
        <v>-118.5</v>
      </c>
      <c r="B244">
        <v>34</v>
      </c>
      <c r="C244">
        <v>2025</v>
      </c>
      <c r="D244">
        <v>1</v>
      </c>
      <c r="E244">
        <v>11</v>
      </c>
      <c r="F244">
        <f>Sayfa1!C244-273.15</f>
        <v>17.064233398437523</v>
      </c>
      <c r="G244">
        <v>24.197040557861328</v>
      </c>
      <c r="H244">
        <f>SQRT(Sayfa1!D244^2+Sayfa1!E244^2)</f>
        <v>4.5973426224507152</v>
      </c>
      <c r="I244">
        <f>SUM(Sayfa1!G221:G244)</f>
        <v>0</v>
      </c>
    </row>
    <row r="245" spans="1:9" x14ac:dyDescent="0.3">
      <c r="A245">
        <v>-118.5</v>
      </c>
      <c r="B245">
        <v>34</v>
      </c>
      <c r="C245">
        <v>2025</v>
      </c>
      <c r="D245">
        <v>1</v>
      </c>
      <c r="E245">
        <v>11</v>
      </c>
      <c r="F245">
        <f>Sayfa1!C245-273.15</f>
        <v>16.544091796875023</v>
      </c>
      <c r="G245">
        <v>27.597339630126953</v>
      </c>
      <c r="H245">
        <f>SQRT(Sayfa1!D245^2+Sayfa1!E245^2)</f>
        <v>4.2983436221804139</v>
      </c>
      <c r="I245">
        <f>SUM(Sayfa1!G222:G245)</f>
        <v>0</v>
      </c>
    </row>
    <row r="246" spans="1:9" x14ac:dyDescent="0.3">
      <c r="A246">
        <v>-118.5</v>
      </c>
      <c r="B246">
        <v>34</v>
      </c>
      <c r="C246">
        <v>2025</v>
      </c>
      <c r="D246">
        <v>1</v>
      </c>
      <c r="E246">
        <v>11</v>
      </c>
      <c r="F246">
        <f>Sayfa1!C246-273.15</f>
        <v>16.072778320312523</v>
      </c>
      <c r="G246">
        <v>31.853899002075195</v>
      </c>
      <c r="H246">
        <f>SQRT(Sayfa1!D246^2+Sayfa1!E246^2)</f>
        <v>3.6408104368708445</v>
      </c>
      <c r="I246">
        <f>SUM(Sayfa1!G223:G246)</f>
        <v>0</v>
      </c>
    </row>
    <row r="247" spans="1:9" x14ac:dyDescent="0.3">
      <c r="A247">
        <v>-118.5</v>
      </c>
      <c r="B247">
        <v>34</v>
      </c>
      <c r="C247">
        <v>2025</v>
      </c>
      <c r="D247">
        <v>1</v>
      </c>
      <c r="E247">
        <v>11</v>
      </c>
      <c r="F247">
        <f>Sayfa1!C247-273.15</f>
        <v>15.887719726562523</v>
      </c>
      <c r="G247">
        <v>34.483482360839844</v>
      </c>
      <c r="H247">
        <f>SQRT(Sayfa1!D247^2+Sayfa1!E247^2)</f>
        <v>2.8638664197101225</v>
      </c>
      <c r="I247">
        <f>SUM(Sayfa1!G224:G247)</f>
        <v>0</v>
      </c>
    </row>
    <row r="248" spans="1:9" x14ac:dyDescent="0.3">
      <c r="A248">
        <v>-118.5</v>
      </c>
      <c r="B248">
        <v>34</v>
      </c>
      <c r="C248">
        <v>2025</v>
      </c>
      <c r="D248">
        <v>1</v>
      </c>
      <c r="E248">
        <v>11</v>
      </c>
      <c r="F248">
        <f>Sayfa1!C248-273.15</f>
        <v>15.812646484375023</v>
      </c>
      <c r="G248">
        <v>35.5269775390625</v>
      </c>
      <c r="H248">
        <f>SQRT(Sayfa1!D248^2+Sayfa1!E248^2)</f>
        <v>2.2433938268719169</v>
      </c>
      <c r="I248">
        <f>SUM(Sayfa1!G225:G248)</f>
        <v>0</v>
      </c>
    </row>
    <row r="249" spans="1:9" x14ac:dyDescent="0.3">
      <c r="A249">
        <v>-118.5</v>
      </c>
      <c r="B249">
        <v>34</v>
      </c>
      <c r="C249">
        <v>2025</v>
      </c>
      <c r="D249">
        <v>1</v>
      </c>
      <c r="E249">
        <v>11</v>
      </c>
      <c r="F249">
        <f>Sayfa1!C249-273.15</f>
        <v>15.782739257812523</v>
      </c>
      <c r="G249">
        <v>36.226222991943359</v>
      </c>
      <c r="H249">
        <f>SQRT(Sayfa1!D249^2+Sayfa1!E249^2)</f>
        <v>1.7160499861543348</v>
      </c>
      <c r="I249">
        <f>SUM(Sayfa1!G226:G249)</f>
        <v>0</v>
      </c>
    </row>
    <row r="250" spans="1:9" x14ac:dyDescent="0.3">
      <c r="A250">
        <v>-118.5</v>
      </c>
      <c r="B250">
        <v>34</v>
      </c>
      <c r="C250">
        <v>2025</v>
      </c>
      <c r="D250">
        <v>1</v>
      </c>
      <c r="E250">
        <v>11</v>
      </c>
      <c r="F250">
        <f>Sayfa1!C250-273.15</f>
        <v>15.640893554687523</v>
      </c>
      <c r="G250">
        <v>37.169773101806641</v>
      </c>
      <c r="H250">
        <f>SQRT(Sayfa1!D250^2+Sayfa1!E250^2)</f>
        <v>1.2786655059216081</v>
      </c>
      <c r="I250">
        <f>SUM(Sayfa1!G227:G250)</f>
        <v>0</v>
      </c>
    </row>
    <row r="251" spans="1:9" x14ac:dyDescent="0.3">
      <c r="A251">
        <v>-118.5</v>
      </c>
      <c r="B251">
        <v>34</v>
      </c>
      <c r="C251">
        <v>2025</v>
      </c>
      <c r="D251">
        <v>1</v>
      </c>
      <c r="E251">
        <v>11</v>
      </c>
      <c r="F251">
        <f>Sayfa1!C251-273.15</f>
        <v>15.292871093750023</v>
      </c>
      <c r="G251">
        <v>38.904571533203125</v>
      </c>
      <c r="H251">
        <f>SQRT(Sayfa1!D251^2+Sayfa1!E251^2)</f>
        <v>0.84502243430876545</v>
      </c>
      <c r="I251">
        <f>SUM(Sayfa1!G228:G251)</f>
        <v>0</v>
      </c>
    </row>
    <row r="252" spans="1:9" x14ac:dyDescent="0.3">
      <c r="A252">
        <v>-118.5</v>
      </c>
      <c r="B252">
        <v>34</v>
      </c>
      <c r="C252">
        <v>2025</v>
      </c>
      <c r="D252">
        <v>1</v>
      </c>
      <c r="E252">
        <v>11</v>
      </c>
      <c r="F252">
        <f>Sayfa1!C252-273.15</f>
        <v>14.202172851562523</v>
      </c>
      <c r="G252">
        <v>42.766891479492188</v>
      </c>
      <c r="H252">
        <f>SQRT(Sayfa1!D252^2+Sayfa1!E252^2)</f>
        <v>1.8314586642629787</v>
      </c>
      <c r="I252">
        <f>SUM(Sayfa1!G229:G252)</f>
        <v>0</v>
      </c>
    </row>
    <row r="253" spans="1:9" x14ac:dyDescent="0.3">
      <c r="A253">
        <v>-118.5</v>
      </c>
      <c r="B253">
        <v>34</v>
      </c>
      <c r="C253">
        <v>2025</v>
      </c>
      <c r="D253">
        <v>1</v>
      </c>
      <c r="E253">
        <v>11</v>
      </c>
      <c r="F253">
        <f>Sayfa1!C253-273.15</f>
        <v>13.815087890625023</v>
      </c>
      <c r="G253">
        <v>46.522445678710938</v>
      </c>
      <c r="H253">
        <f>SQRT(Sayfa1!D253^2+Sayfa1!E253^2)</f>
        <v>1.9492531919231582</v>
      </c>
      <c r="I253">
        <f>SUM(Sayfa1!G230:G253)</f>
        <v>0</v>
      </c>
    </row>
    <row r="254" spans="1:9" x14ac:dyDescent="0.3">
      <c r="A254">
        <v>-118.5</v>
      </c>
      <c r="B254">
        <v>34</v>
      </c>
      <c r="C254">
        <v>2025</v>
      </c>
      <c r="D254">
        <v>1</v>
      </c>
      <c r="E254">
        <v>11</v>
      </c>
      <c r="F254">
        <f>Sayfa1!C254-273.15</f>
        <v>13.428613281250023</v>
      </c>
      <c r="G254">
        <v>49.523895263671875</v>
      </c>
      <c r="H254">
        <f>SQRT(Sayfa1!D254^2+Sayfa1!E254^2)</f>
        <v>2.2377704182341138</v>
      </c>
      <c r="I254">
        <f>SUM(Sayfa1!G231:G254)</f>
        <v>0</v>
      </c>
    </row>
    <row r="255" spans="1:9" x14ac:dyDescent="0.3">
      <c r="A255">
        <v>-118.5</v>
      </c>
      <c r="B255">
        <v>34</v>
      </c>
      <c r="C255">
        <v>2025</v>
      </c>
      <c r="D255">
        <v>1</v>
      </c>
      <c r="E255">
        <v>11</v>
      </c>
      <c r="F255">
        <f>Sayfa1!C255-273.15</f>
        <v>13.365136718750023</v>
      </c>
      <c r="G255">
        <v>53.661666870117188</v>
      </c>
      <c r="H255">
        <f>SQRT(Sayfa1!D255^2+Sayfa1!E255^2)</f>
        <v>2.2247224990183434</v>
      </c>
      <c r="I255">
        <f>SUM(Sayfa1!G232:G255)</f>
        <v>0</v>
      </c>
    </row>
    <row r="256" spans="1:9" x14ac:dyDescent="0.3">
      <c r="A256">
        <v>-118.5</v>
      </c>
      <c r="B256">
        <v>34</v>
      </c>
      <c r="C256">
        <v>2025</v>
      </c>
      <c r="D256">
        <v>1</v>
      </c>
      <c r="E256">
        <v>11</v>
      </c>
      <c r="F256">
        <f>Sayfa1!C256-273.15</f>
        <v>13.402734375000023</v>
      </c>
      <c r="G256">
        <v>58.908828735351563</v>
      </c>
      <c r="H256">
        <f>SQRT(Sayfa1!D256^2+Sayfa1!E256^2)</f>
        <v>2.1580792538773306</v>
      </c>
      <c r="I256">
        <f>SUM(Sayfa1!G233:G256)</f>
        <v>0</v>
      </c>
    </row>
    <row r="257" spans="1:9" x14ac:dyDescent="0.3">
      <c r="A257">
        <v>-118.5</v>
      </c>
      <c r="B257">
        <v>34</v>
      </c>
      <c r="C257">
        <v>2025</v>
      </c>
      <c r="D257">
        <v>1</v>
      </c>
      <c r="E257">
        <v>11</v>
      </c>
      <c r="F257">
        <f>Sayfa1!C257-273.15</f>
        <v>13.515039062500023</v>
      </c>
      <c r="G257">
        <v>64.011199951171875</v>
      </c>
      <c r="H257">
        <f>SQRT(Sayfa1!D257^2+Sayfa1!E257^2)</f>
        <v>2.4146080049844501</v>
      </c>
      <c r="I257">
        <f>SUM(Sayfa1!G234:G257)</f>
        <v>0</v>
      </c>
    </row>
    <row r="258" spans="1:9" x14ac:dyDescent="0.3">
      <c r="A258">
        <v>-118.5</v>
      </c>
      <c r="B258">
        <v>34</v>
      </c>
      <c r="C258">
        <v>2025</v>
      </c>
      <c r="D258">
        <v>1</v>
      </c>
      <c r="E258">
        <v>11</v>
      </c>
      <c r="F258">
        <f>Sayfa1!C258-273.15</f>
        <v>13.529931640625023</v>
      </c>
      <c r="G258">
        <v>62.573867797851563</v>
      </c>
      <c r="H258">
        <f>SQRT(Sayfa1!D258^2+Sayfa1!E258^2)</f>
        <v>2.399282170995904</v>
      </c>
      <c r="I258">
        <f>SUM(Sayfa1!G235:G258)</f>
        <v>0</v>
      </c>
    </row>
    <row r="259" spans="1:9" x14ac:dyDescent="0.3">
      <c r="A259">
        <v>-118.5</v>
      </c>
      <c r="B259">
        <v>34</v>
      </c>
      <c r="C259">
        <v>2025</v>
      </c>
      <c r="D259">
        <v>1</v>
      </c>
      <c r="E259">
        <v>11</v>
      </c>
      <c r="F259">
        <f>Sayfa1!C259-273.15</f>
        <v>13.539331054687523</v>
      </c>
      <c r="G259">
        <v>54.4091796875</v>
      </c>
      <c r="H259">
        <f>SQRT(Sayfa1!D259^2+Sayfa1!E259^2)</f>
        <v>2.2032659947670359</v>
      </c>
      <c r="I259">
        <f>SUM(Sayfa1!G236:G259)</f>
        <v>0</v>
      </c>
    </row>
    <row r="260" spans="1:9" x14ac:dyDescent="0.3">
      <c r="A260">
        <v>-118.5</v>
      </c>
      <c r="B260">
        <v>34</v>
      </c>
      <c r="C260">
        <v>2025</v>
      </c>
      <c r="D260">
        <v>1</v>
      </c>
      <c r="E260">
        <v>11</v>
      </c>
      <c r="F260">
        <f>Sayfa1!C260-273.15</f>
        <v>14.095971679687523</v>
      </c>
      <c r="G260">
        <v>43.744674682617188</v>
      </c>
      <c r="H260">
        <f>SQRT(Sayfa1!D260^2+Sayfa1!E260^2)</f>
        <v>1.4808629563716458</v>
      </c>
      <c r="I260">
        <f>SUM(Sayfa1!G237:G260)</f>
        <v>0</v>
      </c>
    </row>
    <row r="261" spans="1:9" x14ac:dyDescent="0.3">
      <c r="A261">
        <v>-118.5</v>
      </c>
      <c r="B261">
        <v>34</v>
      </c>
      <c r="C261">
        <v>2025</v>
      </c>
      <c r="D261">
        <v>1</v>
      </c>
      <c r="E261">
        <v>11</v>
      </c>
      <c r="F261">
        <f>Sayfa1!C261-273.15</f>
        <v>16.281945800781273</v>
      </c>
      <c r="G261">
        <v>35.554733276367188</v>
      </c>
      <c r="H261">
        <f>SQRT(Sayfa1!D261^2+Sayfa1!E261^2)</f>
        <v>1.5857009912473106</v>
      </c>
      <c r="I261">
        <f>SUM(Sayfa1!G238:G261)</f>
        <v>0</v>
      </c>
    </row>
    <row r="262" spans="1:9" x14ac:dyDescent="0.3">
      <c r="A262">
        <v>-118.5</v>
      </c>
      <c r="B262">
        <v>34</v>
      </c>
      <c r="C262">
        <v>2025</v>
      </c>
      <c r="D262">
        <v>1</v>
      </c>
      <c r="E262">
        <v>11</v>
      </c>
      <c r="F262">
        <f>Sayfa1!C262-273.15</f>
        <v>18.004602050781273</v>
      </c>
      <c r="G262">
        <v>29.60174560546875</v>
      </c>
      <c r="H262">
        <f>SQRT(Sayfa1!D262^2+Sayfa1!E262^2)</f>
        <v>1.9115397734415127</v>
      </c>
      <c r="I262">
        <f>SUM(Sayfa1!G239:G262)</f>
        <v>0</v>
      </c>
    </row>
    <row r="263" spans="1:9" x14ac:dyDescent="0.3">
      <c r="A263">
        <v>-118.5</v>
      </c>
      <c r="B263">
        <v>34</v>
      </c>
      <c r="C263">
        <v>2025</v>
      </c>
      <c r="D263">
        <v>1</v>
      </c>
      <c r="E263">
        <v>11</v>
      </c>
      <c r="F263">
        <f>Sayfa1!C263-273.15</f>
        <v>19.310205078125023</v>
      </c>
      <c r="G263">
        <v>25.518566131591797</v>
      </c>
      <c r="H263">
        <f>SQRT(Sayfa1!D263^2+Sayfa1!E263^2)</f>
        <v>1.3355195685098835</v>
      </c>
      <c r="I263">
        <f>SUM(Sayfa1!G240:G263)</f>
        <v>0</v>
      </c>
    </row>
    <row r="264" spans="1:9" x14ac:dyDescent="0.3">
      <c r="A264">
        <v>-118.5</v>
      </c>
      <c r="B264">
        <v>34</v>
      </c>
      <c r="C264">
        <v>2025</v>
      </c>
      <c r="D264">
        <v>1</v>
      </c>
      <c r="E264">
        <v>11</v>
      </c>
      <c r="F264">
        <f>Sayfa1!C264-273.15</f>
        <v>19.300439453125023</v>
      </c>
      <c r="G264">
        <v>30.73876953125</v>
      </c>
      <c r="H264">
        <f>SQRT(Sayfa1!D264^2+Sayfa1!E264^2)</f>
        <v>1.0068366081242959</v>
      </c>
      <c r="I264">
        <f>SUM(Sayfa1!G241:G264)</f>
        <v>0</v>
      </c>
    </row>
    <row r="265" spans="1:9" x14ac:dyDescent="0.3">
      <c r="A265">
        <v>-118.5</v>
      </c>
      <c r="B265">
        <v>34</v>
      </c>
      <c r="C265">
        <v>2025</v>
      </c>
      <c r="D265">
        <v>1</v>
      </c>
      <c r="E265">
        <v>11</v>
      </c>
      <c r="F265">
        <f>Sayfa1!C265-273.15</f>
        <v>19.724877929687523</v>
      </c>
      <c r="G265">
        <v>29.4488525390625</v>
      </c>
      <c r="H265">
        <f>SQRT(Sayfa1!D265^2+Sayfa1!E265^2)</f>
        <v>2.0019881004092785</v>
      </c>
      <c r="I265">
        <f>SUM(Sayfa1!G242:G265)</f>
        <v>0</v>
      </c>
    </row>
    <row r="266" spans="1:9" x14ac:dyDescent="0.3">
      <c r="A266">
        <v>-118.5</v>
      </c>
      <c r="B266">
        <v>34</v>
      </c>
      <c r="C266">
        <v>2025</v>
      </c>
      <c r="D266">
        <v>1</v>
      </c>
      <c r="E266">
        <v>12</v>
      </c>
      <c r="F266">
        <f>Sayfa1!C266-273.15</f>
        <v>19.643823242187523</v>
      </c>
      <c r="G266">
        <v>28.967231750488281</v>
      </c>
      <c r="H266">
        <f>SQRT(Sayfa1!D266^2+Sayfa1!E266^2)</f>
        <v>2.8804080022777465</v>
      </c>
      <c r="I266">
        <f>SUM(Sayfa1!G243:G266)</f>
        <v>0</v>
      </c>
    </row>
    <row r="267" spans="1:9" x14ac:dyDescent="0.3">
      <c r="A267">
        <v>-118.5</v>
      </c>
      <c r="B267">
        <v>34</v>
      </c>
      <c r="C267">
        <v>2025</v>
      </c>
      <c r="D267">
        <v>1</v>
      </c>
      <c r="E267">
        <v>12</v>
      </c>
      <c r="F267">
        <f>Sayfa1!C267-273.15</f>
        <v>19.257104492187523</v>
      </c>
      <c r="G267">
        <v>28.754669189453125</v>
      </c>
      <c r="H267">
        <f>SQRT(Sayfa1!D267^2+Sayfa1!E267^2)</f>
        <v>4.1769035846610647</v>
      </c>
      <c r="I267">
        <f>SUM(Sayfa1!G244:G267)</f>
        <v>0</v>
      </c>
    </row>
    <row r="268" spans="1:9" x14ac:dyDescent="0.3">
      <c r="A268">
        <v>-118.5</v>
      </c>
      <c r="B268">
        <v>34</v>
      </c>
      <c r="C268">
        <v>2025</v>
      </c>
      <c r="D268">
        <v>1</v>
      </c>
      <c r="E268">
        <v>12</v>
      </c>
      <c r="F268">
        <f>Sayfa1!C268-273.15</f>
        <v>19.466882324218773</v>
      </c>
      <c r="G268">
        <v>23.301908493041992</v>
      </c>
      <c r="H268">
        <f>SQRT(Sayfa1!D268^2+Sayfa1!E268^2)</f>
        <v>4.9158693986599342</v>
      </c>
      <c r="I268">
        <f>SUM(Sayfa1!G245:G268)</f>
        <v>0</v>
      </c>
    </row>
    <row r="269" spans="1:9" x14ac:dyDescent="0.3">
      <c r="A269">
        <v>-118.5</v>
      </c>
      <c r="B269">
        <v>34</v>
      </c>
      <c r="C269">
        <v>2025</v>
      </c>
      <c r="D269">
        <v>1</v>
      </c>
      <c r="E269">
        <v>12</v>
      </c>
      <c r="F269">
        <f>Sayfa1!C269-273.15</f>
        <v>19.552148437500023</v>
      </c>
      <c r="G269">
        <v>16.783931732177734</v>
      </c>
      <c r="H269">
        <f>SQRT(Sayfa1!D269^2+Sayfa1!E269^2)</f>
        <v>5.9345616487619024</v>
      </c>
      <c r="I269">
        <f>SUM(Sayfa1!G246:G269)</f>
        <v>0</v>
      </c>
    </row>
    <row r="270" spans="1:9" x14ac:dyDescent="0.3">
      <c r="A270">
        <v>-118.5</v>
      </c>
      <c r="B270">
        <v>34</v>
      </c>
      <c r="C270">
        <v>2025</v>
      </c>
      <c r="D270">
        <v>1</v>
      </c>
      <c r="E270">
        <v>12</v>
      </c>
      <c r="F270">
        <f>Sayfa1!C270-273.15</f>
        <v>18.967309570312523</v>
      </c>
      <c r="G270">
        <v>14.481821060180664</v>
      </c>
      <c r="H270">
        <f>SQRT(Sayfa1!D270^2+Sayfa1!E270^2)</f>
        <v>6.3013945647674428</v>
      </c>
      <c r="I270">
        <f>SUM(Sayfa1!G247:G270)</f>
        <v>0</v>
      </c>
    </row>
    <row r="271" spans="1:9" x14ac:dyDescent="0.3">
      <c r="A271">
        <v>-118.5</v>
      </c>
      <c r="B271">
        <v>34</v>
      </c>
      <c r="C271">
        <v>2025</v>
      </c>
      <c r="D271">
        <v>1</v>
      </c>
      <c r="E271">
        <v>12</v>
      </c>
      <c r="F271">
        <f>Sayfa1!C271-273.15</f>
        <v>18.496484375000023</v>
      </c>
      <c r="G271">
        <v>16.992233276367188</v>
      </c>
      <c r="H271">
        <f>SQRT(Sayfa1!D271^2+Sayfa1!E271^2)</f>
        <v>5.4928797038970467</v>
      </c>
      <c r="I271">
        <f>SUM(Sayfa1!G248:G271)</f>
        <v>0</v>
      </c>
    </row>
    <row r="272" spans="1:9" x14ac:dyDescent="0.3">
      <c r="A272">
        <v>-118.5</v>
      </c>
      <c r="B272">
        <v>34</v>
      </c>
      <c r="C272">
        <v>2025</v>
      </c>
      <c r="D272">
        <v>1</v>
      </c>
      <c r="E272">
        <v>12</v>
      </c>
      <c r="F272">
        <f>Sayfa1!C272-273.15</f>
        <v>18.214746093750023</v>
      </c>
      <c r="G272">
        <v>19.660539627075195</v>
      </c>
      <c r="H272">
        <f>SQRT(Sayfa1!D272^2+Sayfa1!E272^2)</f>
        <v>5.1413030503545079</v>
      </c>
      <c r="I272">
        <f>SUM(Sayfa1!G249:G272)</f>
        <v>0</v>
      </c>
    </row>
    <row r="273" spans="1:9" x14ac:dyDescent="0.3">
      <c r="A273">
        <v>-118.5</v>
      </c>
      <c r="B273">
        <v>34</v>
      </c>
      <c r="C273">
        <v>2025</v>
      </c>
      <c r="D273">
        <v>1</v>
      </c>
      <c r="E273">
        <v>12</v>
      </c>
      <c r="F273">
        <f>Sayfa1!C273-273.15</f>
        <v>17.988244628906273</v>
      </c>
      <c r="G273">
        <v>22.759441375732422</v>
      </c>
      <c r="H273">
        <f>SQRT(Sayfa1!D273^2+Sayfa1!E273^2)</f>
        <v>4.6582472645669641</v>
      </c>
      <c r="I273">
        <f>SUM(Sayfa1!G250:G273)</f>
        <v>0</v>
      </c>
    </row>
    <row r="274" spans="1:9" x14ac:dyDescent="0.3">
      <c r="A274">
        <v>-118.5</v>
      </c>
      <c r="B274">
        <v>34</v>
      </c>
      <c r="C274">
        <v>2025</v>
      </c>
      <c r="D274">
        <v>1</v>
      </c>
      <c r="E274">
        <v>12</v>
      </c>
      <c r="F274">
        <f>Sayfa1!C274-273.15</f>
        <v>17.747033691406273</v>
      </c>
      <c r="G274">
        <v>26.660350799560547</v>
      </c>
      <c r="H274">
        <f>SQRT(Sayfa1!D274^2+Sayfa1!E274^2)</f>
        <v>4.9321690941447809</v>
      </c>
      <c r="I274">
        <f>SUM(Sayfa1!G251:G274)</f>
        <v>0</v>
      </c>
    </row>
    <row r="275" spans="1:9" x14ac:dyDescent="0.3">
      <c r="A275">
        <v>-118.5</v>
      </c>
      <c r="B275">
        <v>34</v>
      </c>
      <c r="C275">
        <v>2025</v>
      </c>
      <c r="D275">
        <v>1</v>
      </c>
      <c r="E275">
        <v>12</v>
      </c>
      <c r="F275">
        <f>Sayfa1!C275-273.15</f>
        <v>17.300683593750023</v>
      </c>
      <c r="G275">
        <v>28.391443252563477</v>
      </c>
      <c r="H275">
        <f>SQRT(Sayfa1!D275^2+Sayfa1!E275^2)</f>
        <v>5.387905041789022</v>
      </c>
      <c r="I275">
        <f>SUM(Sayfa1!G252:G275)</f>
        <v>0</v>
      </c>
    </row>
    <row r="276" spans="1:9" x14ac:dyDescent="0.3">
      <c r="A276">
        <v>-118.5</v>
      </c>
      <c r="B276">
        <v>34</v>
      </c>
      <c r="C276">
        <v>2025</v>
      </c>
      <c r="D276">
        <v>1</v>
      </c>
      <c r="E276">
        <v>12</v>
      </c>
      <c r="F276">
        <f>Sayfa1!C276-273.15</f>
        <v>17.204003906250023</v>
      </c>
      <c r="G276">
        <v>23.662490844726563</v>
      </c>
      <c r="H276">
        <f>SQRT(Sayfa1!D276^2+Sayfa1!E276^2)</f>
        <v>5.2119675690592091</v>
      </c>
      <c r="I276">
        <f>SUM(Sayfa1!G253:G276)</f>
        <v>0</v>
      </c>
    </row>
    <row r="277" spans="1:9" x14ac:dyDescent="0.3">
      <c r="A277">
        <v>-118.5</v>
      </c>
      <c r="B277">
        <v>34</v>
      </c>
      <c r="C277">
        <v>2025</v>
      </c>
      <c r="D277">
        <v>1</v>
      </c>
      <c r="E277">
        <v>12</v>
      </c>
      <c r="F277">
        <f>Sayfa1!C277-273.15</f>
        <v>16.751428222656273</v>
      </c>
      <c r="G277">
        <v>23.039329528808594</v>
      </c>
      <c r="H277">
        <f>SQRT(Sayfa1!D277^2+Sayfa1!E277^2)</f>
        <v>4.8902185646755383</v>
      </c>
      <c r="I277">
        <f>SUM(Sayfa1!G254:G277)</f>
        <v>0</v>
      </c>
    </row>
    <row r="278" spans="1:9" x14ac:dyDescent="0.3">
      <c r="A278">
        <v>-118.5</v>
      </c>
      <c r="B278">
        <v>34</v>
      </c>
      <c r="C278">
        <v>2025</v>
      </c>
      <c r="D278">
        <v>1</v>
      </c>
      <c r="E278">
        <v>12</v>
      </c>
      <c r="F278">
        <f>Sayfa1!C278-273.15</f>
        <v>16.363244628906273</v>
      </c>
      <c r="G278">
        <v>23.277996063232422</v>
      </c>
      <c r="H278">
        <f>SQRT(Sayfa1!D278^2+Sayfa1!E278^2)</f>
        <v>4.9929395009321409</v>
      </c>
      <c r="I278">
        <f>SUM(Sayfa1!G255:G278)</f>
        <v>0</v>
      </c>
    </row>
    <row r="279" spans="1:9" x14ac:dyDescent="0.3">
      <c r="A279">
        <v>-118.5</v>
      </c>
      <c r="B279">
        <v>34</v>
      </c>
      <c r="C279">
        <v>2025</v>
      </c>
      <c r="D279">
        <v>1</v>
      </c>
      <c r="E279">
        <v>12</v>
      </c>
      <c r="F279">
        <f>Sayfa1!C279-273.15</f>
        <v>16.173913574218773</v>
      </c>
      <c r="G279">
        <v>24.557796478271484</v>
      </c>
      <c r="H279">
        <f>SQRT(Sayfa1!D279^2+Sayfa1!E279^2)</f>
        <v>4.9698736008723934</v>
      </c>
      <c r="I279">
        <f>SUM(Sayfa1!G256:G279)</f>
        <v>0</v>
      </c>
    </row>
    <row r="280" spans="1:9" x14ac:dyDescent="0.3">
      <c r="A280">
        <v>-118.5</v>
      </c>
      <c r="B280">
        <v>34</v>
      </c>
      <c r="C280">
        <v>2025</v>
      </c>
      <c r="D280">
        <v>1</v>
      </c>
      <c r="E280">
        <v>12</v>
      </c>
      <c r="F280">
        <f>Sayfa1!C280-273.15</f>
        <v>16.007653808593773</v>
      </c>
      <c r="G280">
        <v>25.747329711914063</v>
      </c>
      <c r="H280">
        <f>SQRT(Sayfa1!D280^2+Sayfa1!E280^2)</f>
        <v>5.0038049200077221</v>
      </c>
      <c r="I280">
        <f>SUM(Sayfa1!G257:G280)</f>
        <v>0</v>
      </c>
    </row>
    <row r="281" spans="1:9" x14ac:dyDescent="0.3">
      <c r="A281">
        <v>-118.5</v>
      </c>
      <c r="B281">
        <v>34</v>
      </c>
      <c r="C281">
        <v>2025</v>
      </c>
      <c r="D281">
        <v>1</v>
      </c>
      <c r="E281">
        <v>12</v>
      </c>
      <c r="F281">
        <f>Sayfa1!C281-273.15</f>
        <v>15.697351074218773</v>
      </c>
      <c r="G281">
        <v>26.732301712036133</v>
      </c>
      <c r="H281">
        <f>SQRT(Sayfa1!D281^2+Sayfa1!E281^2)</f>
        <v>5.1124286643865613</v>
      </c>
      <c r="I281">
        <f>SUM(Sayfa1!G258:G281)</f>
        <v>0</v>
      </c>
    </row>
    <row r="282" spans="1:9" x14ac:dyDescent="0.3">
      <c r="A282">
        <v>-118.5</v>
      </c>
      <c r="B282">
        <v>34</v>
      </c>
      <c r="C282">
        <v>2025</v>
      </c>
      <c r="D282">
        <v>1</v>
      </c>
      <c r="E282">
        <v>12</v>
      </c>
      <c r="F282">
        <f>Sayfa1!C282-273.15</f>
        <v>15.218469238281273</v>
      </c>
      <c r="G282">
        <v>24.765392303466797</v>
      </c>
      <c r="H282">
        <f>SQRT(Sayfa1!D282^2+Sayfa1!E282^2)</f>
        <v>4.9001011504957122</v>
      </c>
      <c r="I282">
        <f>SUM(Sayfa1!G259:G282)</f>
        <v>0</v>
      </c>
    </row>
    <row r="283" spans="1:9" x14ac:dyDescent="0.3">
      <c r="A283">
        <v>-118.5</v>
      </c>
      <c r="B283">
        <v>34</v>
      </c>
      <c r="C283">
        <v>2025</v>
      </c>
      <c r="D283">
        <v>1</v>
      </c>
      <c r="E283">
        <v>12</v>
      </c>
      <c r="F283">
        <f>Sayfa1!C283-273.15</f>
        <v>14.582360839843773</v>
      </c>
      <c r="G283">
        <v>17.957050323486328</v>
      </c>
      <c r="H283">
        <f>SQRT(Sayfa1!D283^2+Sayfa1!E283^2)</f>
        <v>4.829168755885406</v>
      </c>
      <c r="I283">
        <f>SUM(Sayfa1!G260:G283)</f>
        <v>0</v>
      </c>
    </row>
    <row r="284" spans="1:9" x14ac:dyDescent="0.3">
      <c r="A284">
        <v>-118.5</v>
      </c>
      <c r="B284">
        <v>34</v>
      </c>
      <c r="C284">
        <v>2025</v>
      </c>
      <c r="D284">
        <v>1</v>
      </c>
      <c r="E284">
        <v>12</v>
      </c>
      <c r="F284">
        <f>Sayfa1!C284-273.15</f>
        <v>14.941918945312523</v>
      </c>
      <c r="G284">
        <v>14.993045806884766</v>
      </c>
      <c r="H284">
        <f>SQRT(Sayfa1!D284^2+Sayfa1!E284^2)</f>
        <v>4.8189278490935346</v>
      </c>
      <c r="I284">
        <f>SUM(Sayfa1!G261:G284)</f>
        <v>0</v>
      </c>
    </row>
    <row r="285" spans="1:9" x14ac:dyDescent="0.3">
      <c r="A285">
        <v>-118.5</v>
      </c>
      <c r="B285">
        <v>34</v>
      </c>
      <c r="C285">
        <v>2025</v>
      </c>
      <c r="D285">
        <v>1</v>
      </c>
      <c r="E285">
        <v>12</v>
      </c>
      <c r="F285">
        <f>Sayfa1!C285-273.15</f>
        <v>16.331933593750023</v>
      </c>
      <c r="G285">
        <v>14.166852951049805</v>
      </c>
      <c r="H285">
        <f>SQRT(Sayfa1!D285^2+Sayfa1!E285^2)</f>
        <v>4.3012401100964333</v>
      </c>
      <c r="I285">
        <f>SUM(Sayfa1!G262:G285)</f>
        <v>0</v>
      </c>
    </row>
    <row r="286" spans="1:9" x14ac:dyDescent="0.3">
      <c r="A286">
        <v>-118.5</v>
      </c>
      <c r="B286">
        <v>34</v>
      </c>
      <c r="C286">
        <v>2025</v>
      </c>
      <c r="D286">
        <v>1</v>
      </c>
      <c r="E286">
        <v>12</v>
      </c>
      <c r="F286">
        <f>Sayfa1!C286-273.15</f>
        <v>17.190698242187523</v>
      </c>
      <c r="G286">
        <v>13.292587280273438</v>
      </c>
      <c r="H286">
        <f>SQRT(Sayfa1!D286^2+Sayfa1!E286^2)</f>
        <v>3.1972248714753273</v>
      </c>
      <c r="I286">
        <f>SUM(Sayfa1!G263:G286)</f>
        <v>0</v>
      </c>
    </row>
    <row r="287" spans="1:9" x14ac:dyDescent="0.3">
      <c r="A287">
        <v>-118.5</v>
      </c>
      <c r="B287">
        <v>34</v>
      </c>
      <c r="C287">
        <v>2025</v>
      </c>
      <c r="D287">
        <v>1</v>
      </c>
      <c r="E287">
        <v>12</v>
      </c>
      <c r="F287">
        <f>Sayfa1!C287-273.15</f>
        <v>17.862939453125023</v>
      </c>
      <c r="G287">
        <v>12.639241218566895</v>
      </c>
      <c r="H287">
        <f>SQRT(Sayfa1!D287^2+Sayfa1!E287^2)</f>
        <v>2.4146828371835336</v>
      </c>
      <c r="I287">
        <f>SUM(Sayfa1!G264:G287)</f>
        <v>0</v>
      </c>
    </row>
    <row r="288" spans="1:9" x14ac:dyDescent="0.3">
      <c r="A288">
        <v>-118.5</v>
      </c>
      <c r="B288">
        <v>34</v>
      </c>
      <c r="C288">
        <v>2025</v>
      </c>
      <c r="D288">
        <v>1</v>
      </c>
      <c r="E288">
        <v>12</v>
      </c>
      <c r="F288">
        <f>Sayfa1!C288-273.15</f>
        <v>18.203942871093773</v>
      </c>
      <c r="G288">
        <v>14.015267372131348</v>
      </c>
      <c r="H288">
        <f>SQRT(Sayfa1!D288^2+Sayfa1!E288^2)</f>
        <v>0.18849793001718682</v>
      </c>
      <c r="I288">
        <f>SUM(Sayfa1!G265:G288)</f>
        <v>0</v>
      </c>
    </row>
    <row r="289" spans="1:9" x14ac:dyDescent="0.3">
      <c r="A289">
        <v>-118.5</v>
      </c>
      <c r="B289">
        <v>34</v>
      </c>
      <c r="C289">
        <v>2025</v>
      </c>
      <c r="D289">
        <v>1</v>
      </c>
      <c r="E289">
        <v>12</v>
      </c>
      <c r="F289">
        <f>Sayfa1!C289-273.15</f>
        <v>18.467736816406273</v>
      </c>
      <c r="G289">
        <v>13.238137245178223</v>
      </c>
      <c r="H289">
        <f>SQRT(Sayfa1!D289^2+Sayfa1!E289^2)</f>
        <v>0.63208628452888926</v>
      </c>
      <c r="I289">
        <f>SUM(Sayfa1!G266:G289)</f>
        <v>0</v>
      </c>
    </row>
    <row r="290" spans="1:9" x14ac:dyDescent="0.3">
      <c r="A290">
        <v>-118.5</v>
      </c>
      <c r="B290">
        <v>34</v>
      </c>
      <c r="C290">
        <v>2025</v>
      </c>
      <c r="D290">
        <v>1</v>
      </c>
      <c r="E290">
        <v>13</v>
      </c>
      <c r="F290">
        <f>Sayfa1!C290-273.15</f>
        <v>18.271752929687523</v>
      </c>
      <c r="G290">
        <v>12.681957244873047</v>
      </c>
      <c r="H290">
        <f>SQRT(Sayfa1!D290^2+Sayfa1!E290^2)</f>
        <v>2.033448124893507</v>
      </c>
      <c r="I290">
        <f>SUM(Sayfa1!G267:G290)</f>
        <v>0</v>
      </c>
    </row>
    <row r="291" spans="1:9" x14ac:dyDescent="0.3">
      <c r="A291">
        <v>-118.5</v>
      </c>
      <c r="B291">
        <v>34</v>
      </c>
      <c r="C291">
        <v>2025</v>
      </c>
      <c r="D291">
        <v>1</v>
      </c>
      <c r="E291">
        <v>13</v>
      </c>
      <c r="F291">
        <f>Sayfa1!C291-273.15</f>
        <v>17.582421875000023</v>
      </c>
      <c r="G291">
        <v>15.434239387512207</v>
      </c>
      <c r="H291">
        <f>SQRT(Sayfa1!D291^2+Sayfa1!E291^2)</f>
        <v>3.2297832303725849</v>
      </c>
      <c r="I291">
        <f>SUM(Sayfa1!G268:G291)</f>
        <v>0</v>
      </c>
    </row>
    <row r="292" spans="1:9" x14ac:dyDescent="0.3">
      <c r="A292">
        <v>-118.5</v>
      </c>
      <c r="B292">
        <v>34</v>
      </c>
      <c r="C292">
        <v>2025</v>
      </c>
      <c r="D292">
        <v>1</v>
      </c>
      <c r="E292">
        <v>13</v>
      </c>
      <c r="F292">
        <f>Sayfa1!C292-273.15</f>
        <v>16.911889648437523</v>
      </c>
      <c r="G292">
        <v>19.632251739501953</v>
      </c>
      <c r="H292">
        <f>SQRT(Sayfa1!D292^2+Sayfa1!E292^2)</f>
        <v>2.4921062420827553</v>
      </c>
      <c r="I292">
        <f>SUM(Sayfa1!G269:G292)</f>
        <v>0</v>
      </c>
    </row>
    <row r="293" spans="1:9" x14ac:dyDescent="0.3">
      <c r="A293">
        <v>-118.5</v>
      </c>
      <c r="B293">
        <v>34</v>
      </c>
      <c r="C293">
        <v>2025</v>
      </c>
      <c r="D293">
        <v>1</v>
      </c>
      <c r="E293">
        <v>13</v>
      </c>
      <c r="F293">
        <f>Sayfa1!C293-273.15</f>
        <v>16.363061523437523</v>
      </c>
      <c r="G293">
        <v>23.3570556640625</v>
      </c>
      <c r="H293">
        <f>SQRT(Sayfa1!D293^2+Sayfa1!E293^2)</f>
        <v>1.6808573078658762</v>
      </c>
      <c r="I293">
        <f>SUM(Sayfa1!G270:G293)</f>
        <v>0</v>
      </c>
    </row>
    <row r="294" spans="1:9" x14ac:dyDescent="0.3">
      <c r="A294">
        <v>-118.5</v>
      </c>
      <c r="B294">
        <v>34</v>
      </c>
      <c r="C294">
        <v>2025</v>
      </c>
      <c r="D294">
        <v>1</v>
      </c>
      <c r="E294">
        <v>13</v>
      </c>
      <c r="F294">
        <f>Sayfa1!C294-273.15</f>
        <v>15.832849121093773</v>
      </c>
      <c r="G294">
        <v>28.803085327148438</v>
      </c>
      <c r="H294">
        <f>SQRT(Sayfa1!D294^2+Sayfa1!E294^2)</f>
        <v>2.2579501204556629</v>
      </c>
      <c r="I294">
        <f>SUM(Sayfa1!G271:G294)</f>
        <v>0</v>
      </c>
    </row>
    <row r="295" spans="1:9" x14ac:dyDescent="0.3">
      <c r="A295">
        <v>-118.5</v>
      </c>
      <c r="B295">
        <v>34</v>
      </c>
      <c r="C295">
        <v>2025</v>
      </c>
      <c r="D295">
        <v>1</v>
      </c>
      <c r="E295">
        <v>13</v>
      </c>
      <c r="F295">
        <f>Sayfa1!C295-273.15</f>
        <v>15.568139648437523</v>
      </c>
      <c r="G295">
        <v>30.384658813476563</v>
      </c>
      <c r="H295">
        <f>SQRT(Sayfa1!D295^2+Sayfa1!E295^2)</f>
        <v>2.5907329871906959</v>
      </c>
      <c r="I295">
        <f>SUM(Sayfa1!G272:G295)</f>
        <v>0</v>
      </c>
    </row>
    <row r="296" spans="1:9" x14ac:dyDescent="0.3">
      <c r="A296">
        <v>-118.5</v>
      </c>
      <c r="B296">
        <v>34</v>
      </c>
      <c r="C296">
        <v>2025</v>
      </c>
      <c r="D296">
        <v>1</v>
      </c>
      <c r="E296">
        <v>13</v>
      </c>
      <c r="F296">
        <f>Sayfa1!C296-273.15</f>
        <v>15.323144531250023</v>
      </c>
      <c r="G296">
        <v>30.164947509765625</v>
      </c>
      <c r="H296">
        <f>SQRT(Sayfa1!D296^2+Sayfa1!E296^2)</f>
        <v>3.1503677731318991</v>
      </c>
      <c r="I296">
        <f>SUM(Sayfa1!G273:G296)</f>
        <v>0</v>
      </c>
    </row>
    <row r="297" spans="1:9" x14ac:dyDescent="0.3">
      <c r="A297">
        <v>-118.5</v>
      </c>
      <c r="B297">
        <v>34</v>
      </c>
      <c r="C297">
        <v>2025</v>
      </c>
      <c r="D297">
        <v>1</v>
      </c>
      <c r="E297">
        <v>13</v>
      </c>
      <c r="F297">
        <f>Sayfa1!C297-273.15</f>
        <v>15.091882324218773</v>
      </c>
      <c r="G297">
        <v>30.732681274414063</v>
      </c>
      <c r="H297">
        <f>SQRT(Sayfa1!D297^2+Sayfa1!E297^2)</f>
        <v>3.409345475726183</v>
      </c>
      <c r="I297">
        <f>SUM(Sayfa1!G274:G297)</f>
        <v>0</v>
      </c>
    </row>
    <row r="298" spans="1:9" x14ac:dyDescent="0.3">
      <c r="A298">
        <v>-118.5</v>
      </c>
      <c r="B298">
        <v>34</v>
      </c>
      <c r="C298">
        <v>2025</v>
      </c>
      <c r="D298">
        <v>1</v>
      </c>
      <c r="E298">
        <v>13</v>
      </c>
      <c r="F298">
        <f>Sayfa1!C298-273.15</f>
        <v>15.009179687500023</v>
      </c>
      <c r="G298">
        <v>29.369735717773438</v>
      </c>
      <c r="H298">
        <f>SQRT(Sayfa1!D298^2+Sayfa1!E298^2)</f>
        <v>3.3826762157426646</v>
      </c>
      <c r="I298">
        <f>SUM(Sayfa1!G275:G298)</f>
        <v>0</v>
      </c>
    </row>
    <row r="299" spans="1:9" x14ac:dyDescent="0.3">
      <c r="A299">
        <v>-118.5</v>
      </c>
      <c r="B299">
        <v>34</v>
      </c>
      <c r="C299">
        <v>2025</v>
      </c>
      <c r="D299">
        <v>1</v>
      </c>
      <c r="E299">
        <v>13</v>
      </c>
      <c r="F299">
        <f>Sayfa1!C299-273.15</f>
        <v>14.991662597656273</v>
      </c>
      <c r="G299">
        <v>27.774078369140625</v>
      </c>
      <c r="H299">
        <f>SQRT(Sayfa1!D299^2+Sayfa1!E299^2)</f>
        <v>3.4860140050228816</v>
      </c>
      <c r="I299">
        <f>SUM(Sayfa1!G276:G299)</f>
        <v>0</v>
      </c>
    </row>
    <row r="300" spans="1:9" x14ac:dyDescent="0.3">
      <c r="A300">
        <v>-118.5</v>
      </c>
      <c r="B300">
        <v>34</v>
      </c>
      <c r="C300">
        <v>2025</v>
      </c>
      <c r="D300">
        <v>1</v>
      </c>
      <c r="E300">
        <v>13</v>
      </c>
      <c r="F300">
        <f>Sayfa1!C300-273.15</f>
        <v>14.918786621093773</v>
      </c>
      <c r="G300">
        <v>28.375736236572266</v>
      </c>
      <c r="H300">
        <f>SQRT(Sayfa1!D300^2+Sayfa1!E300^2)</f>
        <v>2.8570169702528494</v>
      </c>
      <c r="I300">
        <f>SUM(Sayfa1!G277:G300)</f>
        <v>0</v>
      </c>
    </row>
    <row r="301" spans="1:9" x14ac:dyDescent="0.3">
      <c r="A301">
        <v>-118.5</v>
      </c>
      <c r="B301">
        <v>34</v>
      </c>
      <c r="C301">
        <v>2025</v>
      </c>
      <c r="D301">
        <v>1</v>
      </c>
      <c r="E301">
        <v>13</v>
      </c>
      <c r="F301">
        <f>Sayfa1!C301-273.15</f>
        <v>14.804711914062523</v>
      </c>
      <c r="G301">
        <v>28.626165390014648</v>
      </c>
      <c r="H301">
        <f>SQRT(Sayfa1!D301^2+Sayfa1!E301^2)</f>
        <v>3.2494072439837343</v>
      </c>
      <c r="I301">
        <f>SUM(Sayfa1!G278:G301)</f>
        <v>0</v>
      </c>
    </row>
    <row r="302" spans="1:9" x14ac:dyDescent="0.3">
      <c r="A302">
        <v>-118.5</v>
      </c>
      <c r="B302">
        <v>34</v>
      </c>
      <c r="C302">
        <v>2025</v>
      </c>
      <c r="D302">
        <v>1</v>
      </c>
      <c r="E302">
        <v>13</v>
      </c>
      <c r="F302">
        <f>Sayfa1!C302-273.15</f>
        <v>14.551782226562523</v>
      </c>
      <c r="G302">
        <v>28.691898345947266</v>
      </c>
      <c r="H302">
        <f>SQRT(Sayfa1!D302^2+Sayfa1!E302^2)</f>
        <v>3.6107517998377023</v>
      </c>
      <c r="I302">
        <f>SUM(Sayfa1!G279:G302)</f>
        <v>0</v>
      </c>
    </row>
    <row r="303" spans="1:9" x14ac:dyDescent="0.3">
      <c r="A303">
        <v>-118.5</v>
      </c>
      <c r="B303">
        <v>34</v>
      </c>
      <c r="C303">
        <v>2025</v>
      </c>
      <c r="D303">
        <v>1</v>
      </c>
      <c r="E303">
        <v>13</v>
      </c>
      <c r="F303">
        <f>Sayfa1!C303-273.15</f>
        <v>14.081750488281273</v>
      </c>
      <c r="G303">
        <v>27.583690643310547</v>
      </c>
      <c r="H303">
        <f>SQRT(Sayfa1!D303^2+Sayfa1!E303^2)</f>
        <v>4.0681066979993652</v>
      </c>
      <c r="I303">
        <f>SUM(Sayfa1!G280:G303)</f>
        <v>0</v>
      </c>
    </row>
    <row r="304" spans="1:9" x14ac:dyDescent="0.3">
      <c r="A304">
        <v>-118.5</v>
      </c>
      <c r="B304">
        <v>34</v>
      </c>
      <c r="C304">
        <v>2025</v>
      </c>
      <c r="D304">
        <v>1</v>
      </c>
      <c r="E304">
        <v>13</v>
      </c>
      <c r="F304">
        <f>Sayfa1!C304-273.15</f>
        <v>13.673547363281273</v>
      </c>
      <c r="G304">
        <v>27.138763427734375</v>
      </c>
      <c r="H304">
        <f>SQRT(Sayfa1!D304^2+Sayfa1!E304^2)</f>
        <v>4.2708859953902092</v>
      </c>
      <c r="I304">
        <f>SUM(Sayfa1!G281:G304)</f>
        <v>0</v>
      </c>
    </row>
    <row r="305" spans="1:9" x14ac:dyDescent="0.3">
      <c r="A305">
        <v>-118.5</v>
      </c>
      <c r="B305">
        <v>34</v>
      </c>
      <c r="C305">
        <v>2025</v>
      </c>
      <c r="D305">
        <v>1</v>
      </c>
      <c r="E305">
        <v>13</v>
      </c>
      <c r="F305">
        <f>Sayfa1!C305-273.15</f>
        <v>13.347985839843773</v>
      </c>
      <c r="G305">
        <v>27.276611328125</v>
      </c>
      <c r="H305">
        <f>SQRT(Sayfa1!D305^2+Sayfa1!E305^2)</f>
        <v>4.1825239896243955</v>
      </c>
      <c r="I305">
        <f>SUM(Sayfa1!G282:G305)</f>
        <v>0</v>
      </c>
    </row>
    <row r="306" spans="1:9" x14ac:dyDescent="0.3">
      <c r="A306">
        <v>-118.5</v>
      </c>
      <c r="B306">
        <v>34</v>
      </c>
      <c r="C306">
        <v>2025</v>
      </c>
      <c r="D306">
        <v>1</v>
      </c>
      <c r="E306">
        <v>13</v>
      </c>
      <c r="F306">
        <f>Sayfa1!C306-273.15</f>
        <v>12.749597167968773</v>
      </c>
      <c r="G306">
        <v>24.774871826171875</v>
      </c>
      <c r="H306">
        <f>SQRT(Sayfa1!D306^2+Sayfa1!E306^2)</f>
        <v>4.4636853598996211</v>
      </c>
      <c r="I306">
        <f>SUM(Sayfa1!G283:G306)</f>
        <v>0</v>
      </c>
    </row>
    <row r="307" spans="1:9" x14ac:dyDescent="0.3">
      <c r="A307">
        <v>-118.5</v>
      </c>
      <c r="B307">
        <v>34</v>
      </c>
      <c r="C307">
        <v>2025</v>
      </c>
      <c r="D307">
        <v>1</v>
      </c>
      <c r="E307">
        <v>13</v>
      </c>
      <c r="F307">
        <f>Sayfa1!C307-273.15</f>
        <v>12.266564941406273</v>
      </c>
      <c r="G307">
        <v>20.8270263671875</v>
      </c>
      <c r="H307">
        <f>SQRT(Sayfa1!D307^2+Sayfa1!E307^2)</f>
        <v>5.0673582033606275</v>
      </c>
      <c r="I307">
        <f>SUM(Sayfa1!G284:G307)</f>
        <v>0</v>
      </c>
    </row>
    <row r="308" spans="1:9" x14ac:dyDescent="0.3">
      <c r="A308">
        <v>-118.5</v>
      </c>
      <c r="B308">
        <v>34</v>
      </c>
      <c r="C308">
        <v>2025</v>
      </c>
      <c r="D308">
        <v>1</v>
      </c>
      <c r="E308">
        <v>13</v>
      </c>
      <c r="F308">
        <f>Sayfa1!C308-273.15</f>
        <v>13.128076171875023</v>
      </c>
      <c r="G308">
        <v>19.339736938476563</v>
      </c>
      <c r="H308">
        <f>SQRT(Sayfa1!D308^2+Sayfa1!E308^2)</f>
        <v>5.3953188519595114</v>
      </c>
      <c r="I308">
        <f>SUM(Sayfa1!G285:G308)</f>
        <v>0</v>
      </c>
    </row>
    <row r="309" spans="1:9" x14ac:dyDescent="0.3">
      <c r="A309">
        <v>-118.5</v>
      </c>
      <c r="B309">
        <v>34</v>
      </c>
      <c r="C309">
        <v>2025</v>
      </c>
      <c r="D309">
        <v>1</v>
      </c>
      <c r="E309">
        <v>13</v>
      </c>
      <c r="F309">
        <f>Sayfa1!C309-273.15</f>
        <v>14.657189941406273</v>
      </c>
      <c r="G309">
        <v>17.010498046875</v>
      </c>
      <c r="H309">
        <f>SQRT(Sayfa1!D309^2+Sayfa1!E309^2)</f>
        <v>5.5951450118044734</v>
      </c>
      <c r="I309">
        <f>SUM(Sayfa1!G286:G309)</f>
        <v>0</v>
      </c>
    </row>
    <row r="310" spans="1:9" x14ac:dyDescent="0.3">
      <c r="A310">
        <v>-118.5</v>
      </c>
      <c r="B310">
        <v>34</v>
      </c>
      <c r="C310">
        <v>2025</v>
      </c>
      <c r="D310">
        <v>1</v>
      </c>
      <c r="E310">
        <v>13</v>
      </c>
      <c r="F310">
        <f>Sayfa1!C310-273.15</f>
        <v>15.633325195312523</v>
      </c>
      <c r="G310">
        <v>15.378061294555664</v>
      </c>
      <c r="H310">
        <f>SQRT(Sayfa1!D310^2+Sayfa1!E310^2)</f>
        <v>5.0452656689919504</v>
      </c>
      <c r="I310">
        <f>SUM(Sayfa1!G287:G310)</f>
        <v>0</v>
      </c>
    </row>
    <row r="311" spans="1:9" x14ac:dyDescent="0.3">
      <c r="A311">
        <v>-118.5</v>
      </c>
      <c r="B311">
        <v>34</v>
      </c>
      <c r="C311">
        <v>2025</v>
      </c>
      <c r="D311">
        <v>1</v>
      </c>
      <c r="E311">
        <v>13</v>
      </c>
      <c r="F311">
        <f>Sayfa1!C311-273.15</f>
        <v>16.364770507812523</v>
      </c>
      <c r="G311">
        <v>13.757274627685547</v>
      </c>
      <c r="H311">
        <f>SQRT(Sayfa1!D311^2+Sayfa1!E311^2)</f>
        <v>4.340176977816288</v>
      </c>
      <c r="I311">
        <f>SUM(Sayfa1!G288:G311)</f>
        <v>0</v>
      </c>
    </row>
    <row r="312" spans="1:9" x14ac:dyDescent="0.3">
      <c r="A312">
        <v>-118.5</v>
      </c>
      <c r="B312">
        <v>34</v>
      </c>
      <c r="C312">
        <v>2025</v>
      </c>
      <c r="D312">
        <v>1</v>
      </c>
      <c r="E312">
        <v>13</v>
      </c>
      <c r="F312">
        <f>Sayfa1!C312-273.15</f>
        <v>16.745812988281273</v>
      </c>
      <c r="G312">
        <v>13.399059295654297</v>
      </c>
      <c r="H312">
        <f>SQRT(Sayfa1!D312^2+Sayfa1!E312^2)</f>
        <v>2.7553071608740578</v>
      </c>
      <c r="I312">
        <f>SUM(Sayfa1!G289:G312)</f>
        <v>0</v>
      </c>
    </row>
    <row r="313" spans="1:9" x14ac:dyDescent="0.3">
      <c r="A313">
        <v>-118.5</v>
      </c>
      <c r="B313">
        <v>34</v>
      </c>
      <c r="C313">
        <v>2025</v>
      </c>
      <c r="D313">
        <v>1</v>
      </c>
      <c r="E313">
        <v>13</v>
      </c>
      <c r="F313">
        <f>Sayfa1!C313-273.15</f>
        <v>17.074792480468773</v>
      </c>
      <c r="G313">
        <v>12.77900505065918</v>
      </c>
      <c r="H313">
        <f>SQRT(Sayfa1!D313^2+Sayfa1!E313^2)</f>
        <v>2.4809235315476812</v>
      </c>
      <c r="I313">
        <f>SUM(Sayfa1!G290:G313)</f>
        <v>0</v>
      </c>
    </row>
    <row r="314" spans="1:9" x14ac:dyDescent="0.3">
      <c r="A314">
        <v>-118.5</v>
      </c>
      <c r="B314">
        <v>34</v>
      </c>
      <c r="C314">
        <v>2025</v>
      </c>
      <c r="D314">
        <v>1</v>
      </c>
      <c r="E314">
        <v>14</v>
      </c>
      <c r="F314">
        <f>Sayfa1!C314-273.15</f>
        <v>17.080468750000023</v>
      </c>
      <c r="G314">
        <v>12.95511531829834</v>
      </c>
      <c r="H314">
        <f>SQRT(Sayfa1!D314^2+Sayfa1!E314^2)</f>
        <v>1.9193854934271579</v>
      </c>
      <c r="I314">
        <f>SUM(Sayfa1!G291:G314)</f>
        <v>0</v>
      </c>
    </row>
    <row r="315" spans="1:9" x14ac:dyDescent="0.3">
      <c r="A315">
        <v>-118.5</v>
      </c>
      <c r="B315">
        <v>34</v>
      </c>
      <c r="C315">
        <v>2025</v>
      </c>
      <c r="D315">
        <v>1</v>
      </c>
      <c r="E315">
        <v>14</v>
      </c>
      <c r="F315">
        <f>Sayfa1!C315-273.15</f>
        <v>16.717797851562523</v>
      </c>
      <c r="G315">
        <v>14.534487724304199</v>
      </c>
      <c r="H315">
        <f>SQRT(Sayfa1!D315^2+Sayfa1!E315^2)</f>
        <v>1.2541465829765823</v>
      </c>
      <c r="I315">
        <f>SUM(Sayfa1!G292:G315)</f>
        <v>0</v>
      </c>
    </row>
    <row r="316" spans="1:9" x14ac:dyDescent="0.3">
      <c r="A316">
        <v>-118.5</v>
      </c>
      <c r="B316">
        <v>34</v>
      </c>
      <c r="C316">
        <v>2025</v>
      </c>
      <c r="D316">
        <v>1</v>
      </c>
      <c r="E316">
        <v>14</v>
      </c>
      <c r="F316">
        <f>Sayfa1!C316-273.15</f>
        <v>16.260034179687523</v>
      </c>
      <c r="G316">
        <v>16.485761642456055</v>
      </c>
      <c r="H316">
        <f>SQRT(Sayfa1!D316^2+Sayfa1!E316^2)</f>
        <v>0.33225946752611007</v>
      </c>
      <c r="I316">
        <f>SUM(Sayfa1!G293:G316)</f>
        <v>0</v>
      </c>
    </row>
    <row r="317" spans="1:9" x14ac:dyDescent="0.3">
      <c r="A317">
        <v>-118.5</v>
      </c>
      <c r="B317">
        <v>34</v>
      </c>
      <c r="C317">
        <v>2025</v>
      </c>
      <c r="D317">
        <v>1</v>
      </c>
      <c r="E317">
        <v>14</v>
      </c>
      <c r="F317">
        <f>Sayfa1!C317-273.15</f>
        <v>15.826379394531273</v>
      </c>
      <c r="G317">
        <v>18.222713470458984</v>
      </c>
      <c r="H317">
        <f>SQRT(Sayfa1!D317^2+Sayfa1!E317^2)</f>
        <v>2.387316285855924</v>
      </c>
      <c r="I317">
        <f>SUM(Sayfa1!G294:G317)</f>
        <v>0</v>
      </c>
    </row>
    <row r="318" spans="1:9" x14ac:dyDescent="0.3">
      <c r="A318">
        <v>-118.5</v>
      </c>
      <c r="B318">
        <v>34</v>
      </c>
      <c r="C318">
        <v>2025</v>
      </c>
      <c r="D318">
        <v>1</v>
      </c>
      <c r="E318">
        <v>14</v>
      </c>
      <c r="F318">
        <f>Sayfa1!C318-273.15</f>
        <v>15.475427246093773</v>
      </c>
      <c r="G318">
        <v>18.384382247924805</v>
      </c>
      <c r="H318">
        <f>SQRT(Sayfa1!D318^2+Sayfa1!E318^2)</f>
        <v>3.9264557173949708</v>
      </c>
      <c r="I318">
        <f>SUM(Sayfa1!G295:G318)</f>
        <v>0</v>
      </c>
    </row>
    <row r="319" spans="1:9" x14ac:dyDescent="0.3">
      <c r="A319">
        <v>-118.5</v>
      </c>
      <c r="B319">
        <v>34</v>
      </c>
      <c r="C319">
        <v>2025</v>
      </c>
      <c r="D319">
        <v>1</v>
      </c>
      <c r="E319">
        <v>14</v>
      </c>
      <c r="F319">
        <f>Sayfa1!C319-273.15</f>
        <v>15.057275390625023</v>
      </c>
      <c r="G319">
        <v>18.282293319702148</v>
      </c>
      <c r="H319">
        <f>SQRT(Sayfa1!D319^2+Sayfa1!E319^2)</f>
        <v>4.8202222595585953</v>
      </c>
      <c r="I319">
        <f>SUM(Sayfa1!G296:G319)</f>
        <v>0</v>
      </c>
    </row>
    <row r="320" spans="1:9" x14ac:dyDescent="0.3">
      <c r="A320">
        <v>-118.5</v>
      </c>
      <c r="B320">
        <v>34</v>
      </c>
      <c r="C320">
        <v>2025</v>
      </c>
      <c r="D320">
        <v>1</v>
      </c>
      <c r="E320">
        <v>14</v>
      </c>
      <c r="F320">
        <f>Sayfa1!C320-273.15</f>
        <v>14.647790527343773</v>
      </c>
      <c r="G320">
        <v>19.063777923583984</v>
      </c>
      <c r="H320">
        <f>SQRT(Sayfa1!D320^2+Sayfa1!E320^2)</f>
        <v>5.1424202032041819</v>
      </c>
      <c r="I320">
        <f>SUM(Sayfa1!G297:G320)</f>
        <v>0</v>
      </c>
    </row>
    <row r="321" spans="1:9" x14ac:dyDescent="0.3">
      <c r="A321">
        <v>-118.5</v>
      </c>
      <c r="B321">
        <v>34</v>
      </c>
      <c r="C321">
        <v>2025</v>
      </c>
      <c r="D321">
        <v>1</v>
      </c>
      <c r="E321">
        <v>14</v>
      </c>
      <c r="F321">
        <f>Sayfa1!C321-273.15</f>
        <v>14.278833007812523</v>
      </c>
      <c r="G321">
        <v>20.123336791992188</v>
      </c>
      <c r="H321">
        <f>SQRT(Sayfa1!D321^2+Sayfa1!E321^2)</f>
        <v>5.1644943070702896</v>
      </c>
      <c r="I321">
        <f>SUM(Sayfa1!G298:G321)</f>
        <v>0</v>
      </c>
    </row>
    <row r="322" spans="1:9" x14ac:dyDescent="0.3">
      <c r="A322">
        <v>-118.5</v>
      </c>
      <c r="B322">
        <v>34</v>
      </c>
      <c r="C322">
        <v>2025</v>
      </c>
      <c r="D322">
        <v>1</v>
      </c>
      <c r="E322">
        <v>14</v>
      </c>
      <c r="F322">
        <f>Sayfa1!C322-273.15</f>
        <v>14.023828125000023</v>
      </c>
      <c r="G322">
        <v>21.383693695068359</v>
      </c>
      <c r="H322">
        <f>SQRT(Sayfa1!D322^2+Sayfa1!E322^2)</f>
        <v>5.0845235712408483</v>
      </c>
      <c r="I322">
        <f>SUM(Sayfa1!G299:G322)</f>
        <v>0</v>
      </c>
    </row>
    <row r="323" spans="1:9" x14ac:dyDescent="0.3">
      <c r="A323">
        <v>-118.5</v>
      </c>
      <c r="B323">
        <v>34</v>
      </c>
      <c r="C323">
        <v>2025</v>
      </c>
      <c r="D323">
        <v>1</v>
      </c>
      <c r="E323">
        <v>14</v>
      </c>
      <c r="F323">
        <f>Sayfa1!C323-273.15</f>
        <v>13.738305664062523</v>
      </c>
      <c r="G323">
        <v>22.375598907470703</v>
      </c>
      <c r="H323">
        <f>SQRT(Sayfa1!D323^2+Sayfa1!E323^2)</f>
        <v>5.0849773353329111</v>
      </c>
      <c r="I323">
        <f>SUM(Sayfa1!G300:G323)</f>
        <v>0</v>
      </c>
    </row>
    <row r="324" spans="1:9" x14ac:dyDescent="0.3">
      <c r="A324">
        <v>-118.5</v>
      </c>
      <c r="B324">
        <v>34</v>
      </c>
      <c r="C324">
        <v>2025</v>
      </c>
      <c r="D324">
        <v>1</v>
      </c>
      <c r="E324">
        <v>14</v>
      </c>
      <c r="F324">
        <f>Sayfa1!C324-273.15</f>
        <v>13.784570312500023</v>
      </c>
      <c r="G324">
        <v>23.352161407470703</v>
      </c>
      <c r="H324">
        <f>SQRT(Sayfa1!D324^2+Sayfa1!E324^2)</f>
        <v>4.5032924373307637</v>
      </c>
      <c r="I324">
        <f>SUM(Sayfa1!G301:G324)</f>
        <v>0</v>
      </c>
    </row>
    <row r="325" spans="1:9" x14ac:dyDescent="0.3">
      <c r="A325">
        <v>-118.5</v>
      </c>
      <c r="B325">
        <v>34</v>
      </c>
      <c r="C325">
        <v>2025</v>
      </c>
      <c r="D325">
        <v>1</v>
      </c>
      <c r="E325">
        <v>14</v>
      </c>
      <c r="F325">
        <f>Sayfa1!C325-273.15</f>
        <v>13.858972167968773</v>
      </c>
      <c r="G325">
        <v>25.426658630371094</v>
      </c>
      <c r="H325">
        <f>SQRT(Sayfa1!D325^2+Sayfa1!E325^2)</f>
        <v>4.4908485342071467</v>
      </c>
      <c r="I325">
        <f>SUM(Sayfa1!G302:G325)</f>
        <v>0</v>
      </c>
    </row>
    <row r="326" spans="1:9" x14ac:dyDescent="0.3">
      <c r="A326">
        <v>-118.5</v>
      </c>
      <c r="B326">
        <v>34</v>
      </c>
      <c r="C326">
        <v>2025</v>
      </c>
      <c r="D326">
        <v>1</v>
      </c>
      <c r="E326">
        <v>14</v>
      </c>
      <c r="F326">
        <f>Sayfa1!C326-273.15</f>
        <v>13.922937011718773</v>
      </c>
      <c r="G326">
        <v>27.223062515258789</v>
      </c>
      <c r="H326">
        <f>SQRT(Sayfa1!D326^2+Sayfa1!E326^2)</f>
        <v>4.2815318216067766</v>
      </c>
      <c r="I326">
        <f>SUM(Sayfa1!G303:G326)</f>
        <v>0</v>
      </c>
    </row>
    <row r="327" spans="1:9" x14ac:dyDescent="0.3">
      <c r="A327">
        <v>-118.5</v>
      </c>
      <c r="B327">
        <v>34</v>
      </c>
      <c r="C327">
        <v>2025</v>
      </c>
      <c r="D327">
        <v>1</v>
      </c>
      <c r="E327">
        <v>14</v>
      </c>
      <c r="F327">
        <f>Sayfa1!C327-273.15</f>
        <v>13.995263671875023</v>
      </c>
      <c r="G327">
        <v>28.415084838867188</v>
      </c>
      <c r="H327">
        <f>SQRT(Sayfa1!D327^2+Sayfa1!E327^2)</f>
        <v>4.0710406199579801</v>
      </c>
      <c r="I327">
        <f>SUM(Sayfa1!G304:G327)</f>
        <v>0</v>
      </c>
    </row>
    <row r="328" spans="1:9" x14ac:dyDescent="0.3">
      <c r="A328">
        <v>-118.5</v>
      </c>
      <c r="B328">
        <v>34</v>
      </c>
      <c r="C328">
        <v>2025</v>
      </c>
      <c r="D328">
        <v>1</v>
      </c>
      <c r="E328">
        <v>14</v>
      </c>
      <c r="F328">
        <f>Sayfa1!C328-273.15</f>
        <v>13.964196777343773</v>
      </c>
      <c r="G328">
        <v>29.250938415527344</v>
      </c>
      <c r="H328">
        <f>SQRT(Sayfa1!D328^2+Sayfa1!E328^2)</f>
        <v>3.5675165622608107</v>
      </c>
      <c r="I328">
        <f>SUM(Sayfa1!G305:G328)</f>
        <v>0</v>
      </c>
    </row>
    <row r="329" spans="1:9" x14ac:dyDescent="0.3">
      <c r="A329">
        <v>-118.5</v>
      </c>
      <c r="B329">
        <v>34</v>
      </c>
      <c r="C329">
        <v>2025</v>
      </c>
      <c r="D329">
        <v>1</v>
      </c>
      <c r="E329">
        <v>14</v>
      </c>
      <c r="F329">
        <f>Sayfa1!C329-273.15</f>
        <v>13.702661132812523</v>
      </c>
      <c r="G329">
        <v>30.117990493774414</v>
      </c>
      <c r="H329">
        <f>SQRT(Sayfa1!D329^2+Sayfa1!E329^2)</f>
        <v>3.288545256269793</v>
      </c>
      <c r="I329">
        <f>SUM(Sayfa1!G306:G329)</f>
        <v>0</v>
      </c>
    </row>
    <row r="330" spans="1:9" x14ac:dyDescent="0.3">
      <c r="A330">
        <v>-118.5</v>
      </c>
      <c r="B330">
        <v>34</v>
      </c>
      <c r="C330">
        <v>2025</v>
      </c>
      <c r="D330">
        <v>1</v>
      </c>
      <c r="E330">
        <v>14</v>
      </c>
      <c r="F330">
        <f>Sayfa1!C330-273.15</f>
        <v>13.464257812500023</v>
      </c>
      <c r="G330">
        <v>28.234071731567383</v>
      </c>
      <c r="H330">
        <f>SQRT(Sayfa1!D330^2+Sayfa1!E330^2)</f>
        <v>2.982070354569303</v>
      </c>
      <c r="I330">
        <f>SUM(Sayfa1!G307:G330)</f>
        <v>0</v>
      </c>
    </row>
    <row r="331" spans="1:9" x14ac:dyDescent="0.3">
      <c r="A331">
        <v>-118.5</v>
      </c>
      <c r="B331">
        <v>34</v>
      </c>
      <c r="C331">
        <v>2025</v>
      </c>
      <c r="D331">
        <v>1</v>
      </c>
      <c r="E331">
        <v>14</v>
      </c>
      <c r="F331">
        <f>Sayfa1!C331-273.15</f>
        <v>13.188989257812523</v>
      </c>
      <c r="G331">
        <v>22.822029113769531</v>
      </c>
      <c r="H331">
        <f>SQRT(Sayfa1!D331^2+Sayfa1!E331^2)</f>
        <v>2.533693371307205</v>
      </c>
      <c r="I331">
        <f>SUM(Sayfa1!G308:G331)</f>
        <v>0</v>
      </c>
    </row>
    <row r="332" spans="1:9" x14ac:dyDescent="0.3">
      <c r="A332">
        <v>-118.5</v>
      </c>
      <c r="B332">
        <v>34</v>
      </c>
      <c r="C332">
        <v>2025</v>
      </c>
      <c r="D332">
        <v>1</v>
      </c>
      <c r="E332">
        <v>14</v>
      </c>
      <c r="F332">
        <f>Sayfa1!C332-273.15</f>
        <v>13.393151855468773</v>
      </c>
      <c r="G332">
        <v>16.704879760742188</v>
      </c>
      <c r="H332">
        <f>SQRT(Sayfa1!D332^2+Sayfa1!E332^2)</f>
        <v>2.5890958164151496</v>
      </c>
      <c r="I332">
        <f>SUM(Sayfa1!G309:G332)</f>
        <v>0</v>
      </c>
    </row>
    <row r="333" spans="1:9" x14ac:dyDescent="0.3">
      <c r="A333">
        <v>-118.5</v>
      </c>
      <c r="B333">
        <v>34</v>
      </c>
      <c r="C333">
        <v>2025</v>
      </c>
      <c r="D333">
        <v>1</v>
      </c>
      <c r="E333">
        <v>14</v>
      </c>
      <c r="F333">
        <f>Sayfa1!C333-273.15</f>
        <v>14.828942871093773</v>
      </c>
      <c r="G333">
        <v>14.867685317993164</v>
      </c>
      <c r="H333">
        <f>SQRT(Sayfa1!D333^2+Sayfa1!E333^2)</f>
        <v>2.6706391043875604</v>
      </c>
      <c r="I333">
        <f>SUM(Sayfa1!G310:G333)</f>
        <v>0</v>
      </c>
    </row>
    <row r="334" spans="1:9" x14ac:dyDescent="0.3">
      <c r="A334">
        <v>-118.5</v>
      </c>
      <c r="B334">
        <v>34</v>
      </c>
      <c r="C334">
        <v>2025</v>
      </c>
      <c r="D334">
        <v>1</v>
      </c>
      <c r="E334">
        <v>14</v>
      </c>
      <c r="F334">
        <f>Sayfa1!C334-273.15</f>
        <v>16.244531250000023</v>
      </c>
      <c r="G334">
        <v>13.661198616027832</v>
      </c>
      <c r="H334">
        <f>SQRT(Sayfa1!D334^2+Sayfa1!E334^2)</f>
        <v>1.7001182793005094</v>
      </c>
      <c r="I334">
        <f>SUM(Sayfa1!G311:G334)</f>
        <v>0</v>
      </c>
    </row>
    <row r="335" spans="1:9" x14ac:dyDescent="0.3">
      <c r="A335">
        <v>-118.5</v>
      </c>
      <c r="B335">
        <v>34</v>
      </c>
      <c r="C335">
        <v>2025</v>
      </c>
      <c r="D335">
        <v>1</v>
      </c>
      <c r="E335">
        <v>14</v>
      </c>
      <c r="F335">
        <f>Sayfa1!C335-273.15</f>
        <v>17.284448242187523</v>
      </c>
      <c r="G335">
        <v>12.750869750976563</v>
      </c>
      <c r="H335">
        <f>SQRT(Sayfa1!D335^2+Sayfa1!E335^2)</f>
        <v>1.0431978465441092</v>
      </c>
      <c r="I335">
        <f>SUM(Sayfa1!G312:G335)</f>
        <v>0</v>
      </c>
    </row>
    <row r="336" spans="1:9" x14ac:dyDescent="0.3">
      <c r="A336">
        <v>-118.5</v>
      </c>
      <c r="B336">
        <v>34</v>
      </c>
      <c r="C336">
        <v>2025</v>
      </c>
      <c r="D336">
        <v>1</v>
      </c>
      <c r="E336">
        <v>14</v>
      </c>
      <c r="F336">
        <f>Sayfa1!C336-273.15</f>
        <v>16.851953125000023</v>
      </c>
      <c r="G336">
        <v>14.347033500671387</v>
      </c>
      <c r="H336">
        <f>SQRT(Sayfa1!D336^2+Sayfa1!E336^2)</f>
        <v>1.2316038085869894</v>
      </c>
      <c r="I336">
        <f>SUM(Sayfa1!G313:G336)</f>
        <v>0</v>
      </c>
    </row>
    <row r="337" spans="1:9" x14ac:dyDescent="0.3">
      <c r="A337">
        <v>-118.5</v>
      </c>
      <c r="B337">
        <v>34</v>
      </c>
      <c r="C337">
        <v>2025</v>
      </c>
      <c r="D337">
        <v>1</v>
      </c>
      <c r="E337">
        <v>14</v>
      </c>
      <c r="F337">
        <f>Sayfa1!C337-273.15</f>
        <v>17.452294921875023</v>
      </c>
      <c r="G337">
        <v>15.265846252441406</v>
      </c>
      <c r="H337">
        <f>SQRT(Sayfa1!D337^2+Sayfa1!E337^2)</f>
        <v>1.2340728905568619</v>
      </c>
      <c r="I337">
        <f>SUM(Sayfa1!G314:G337)</f>
        <v>0</v>
      </c>
    </row>
    <row r="338" spans="1:9" x14ac:dyDescent="0.3">
      <c r="A338">
        <v>-118.5</v>
      </c>
      <c r="B338">
        <v>34</v>
      </c>
      <c r="C338">
        <v>2025</v>
      </c>
      <c r="D338">
        <v>1</v>
      </c>
      <c r="E338">
        <v>15</v>
      </c>
      <c r="F338">
        <f>Sayfa1!C338-273.15</f>
        <v>17.571618652343773</v>
      </c>
      <c r="G338">
        <v>17.247198104858398</v>
      </c>
      <c r="H338">
        <f>SQRT(Sayfa1!D338^2+Sayfa1!E338^2)</f>
        <v>1.9454996675935112</v>
      </c>
      <c r="I338">
        <f>SUM(Sayfa1!G315:G338)</f>
        <v>0</v>
      </c>
    </row>
    <row r="339" spans="1:9" x14ac:dyDescent="0.3">
      <c r="A339">
        <v>-118.5</v>
      </c>
      <c r="B339">
        <v>34</v>
      </c>
      <c r="C339">
        <v>2025</v>
      </c>
      <c r="D339">
        <v>1</v>
      </c>
      <c r="E339">
        <v>15</v>
      </c>
      <c r="F339">
        <f>Sayfa1!C339-273.15</f>
        <v>17.264733886718773</v>
      </c>
      <c r="G339">
        <v>19.108905792236328</v>
      </c>
      <c r="H339">
        <f>SQRT(Sayfa1!D339^2+Sayfa1!E339^2)</f>
        <v>3.3149049720104857</v>
      </c>
      <c r="I339">
        <f>SUM(Sayfa1!G316:G339)</f>
        <v>0</v>
      </c>
    </row>
    <row r="340" spans="1:9" x14ac:dyDescent="0.3">
      <c r="A340">
        <v>-118.5</v>
      </c>
      <c r="B340">
        <v>34</v>
      </c>
      <c r="C340">
        <v>2025</v>
      </c>
      <c r="D340">
        <v>1</v>
      </c>
      <c r="E340">
        <v>15</v>
      </c>
      <c r="F340">
        <f>Sayfa1!C340-273.15</f>
        <v>17.122888183593773</v>
      </c>
      <c r="G340">
        <v>19.552860260009766</v>
      </c>
      <c r="H340">
        <f>SQRT(Sayfa1!D340^2+Sayfa1!E340^2)</f>
        <v>3.7265575609959156</v>
      </c>
      <c r="I340">
        <f>SUM(Sayfa1!G317:G340)</f>
        <v>0</v>
      </c>
    </row>
    <row r="341" spans="1:9" x14ac:dyDescent="0.3">
      <c r="A341">
        <v>-118.5</v>
      </c>
      <c r="B341">
        <v>34</v>
      </c>
      <c r="C341">
        <v>2025</v>
      </c>
      <c r="D341">
        <v>1</v>
      </c>
      <c r="E341">
        <v>15</v>
      </c>
      <c r="F341">
        <f>Sayfa1!C341-273.15</f>
        <v>17.278222656250023</v>
      </c>
      <c r="G341">
        <v>19.746610641479492</v>
      </c>
      <c r="H341">
        <f>SQRT(Sayfa1!D341^2+Sayfa1!E341^2)</f>
        <v>4.0490419429808648</v>
      </c>
      <c r="I341">
        <f>SUM(Sayfa1!G318:G341)</f>
        <v>0</v>
      </c>
    </row>
    <row r="342" spans="1:9" x14ac:dyDescent="0.3">
      <c r="A342">
        <v>-118.5</v>
      </c>
      <c r="B342">
        <v>34</v>
      </c>
      <c r="C342">
        <v>2025</v>
      </c>
      <c r="D342">
        <v>1</v>
      </c>
      <c r="E342">
        <v>15</v>
      </c>
      <c r="F342">
        <f>Sayfa1!C342-273.15</f>
        <v>17.373071289062523</v>
      </c>
      <c r="G342">
        <v>20.091384887695313</v>
      </c>
      <c r="H342">
        <f>SQRT(Sayfa1!D342^2+Sayfa1!E342^2)</f>
        <v>4.2784209410995873</v>
      </c>
      <c r="I342">
        <f>SUM(Sayfa1!G319:G342)</f>
        <v>0</v>
      </c>
    </row>
    <row r="343" spans="1:9" x14ac:dyDescent="0.3">
      <c r="A343">
        <v>-118.5</v>
      </c>
      <c r="B343">
        <v>34</v>
      </c>
      <c r="C343">
        <v>2025</v>
      </c>
      <c r="D343">
        <v>1</v>
      </c>
      <c r="E343">
        <v>15</v>
      </c>
      <c r="F343">
        <f>Sayfa1!C343-273.15</f>
        <v>17.215234375000023</v>
      </c>
      <c r="G343">
        <v>20.809066772460938</v>
      </c>
      <c r="H343">
        <f>SQRT(Sayfa1!D343^2+Sayfa1!E343^2)</f>
        <v>4.2675843715894795</v>
      </c>
      <c r="I343">
        <f>SUM(Sayfa1!G320:G343)</f>
        <v>0</v>
      </c>
    </row>
    <row r="344" spans="1:9" x14ac:dyDescent="0.3">
      <c r="A344">
        <v>-118.5</v>
      </c>
      <c r="B344">
        <v>34</v>
      </c>
      <c r="C344">
        <v>2025</v>
      </c>
      <c r="D344">
        <v>1</v>
      </c>
      <c r="E344">
        <v>15</v>
      </c>
      <c r="F344">
        <f>Sayfa1!C344-273.15</f>
        <v>16.953942871093773</v>
      </c>
      <c r="G344">
        <v>21.730300903320313</v>
      </c>
      <c r="H344">
        <f>SQRT(Sayfa1!D344^2+Sayfa1!E344^2)</f>
        <v>4.3269683191416304</v>
      </c>
      <c r="I344">
        <f>SUM(Sayfa1!G321:G344)</f>
        <v>0</v>
      </c>
    </row>
    <row r="345" spans="1:9" x14ac:dyDescent="0.3">
      <c r="A345">
        <v>-118.5</v>
      </c>
      <c r="B345">
        <v>34</v>
      </c>
      <c r="C345">
        <v>2025</v>
      </c>
      <c r="D345">
        <v>1</v>
      </c>
      <c r="E345">
        <v>15</v>
      </c>
      <c r="F345">
        <f>Sayfa1!C345-273.15</f>
        <v>16.667932128906273</v>
      </c>
      <c r="G345">
        <v>23.347904205322266</v>
      </c>
      <c r="H345">
        <f>SQRT(Sayfa1!D345^2+Sayfa1!E345^2)</f>
        <v>4.2012901797700168</v>
      </c>
      <c r="I345">
        <f>SUM(Sayfa1!G322:G345)</f>
        <v>0</v>
      </c>
    </row>
    <row r="346" spans="1:9" x14ac:dyDescent="0.3">
      <c r="A346">
        <v>-118.5</v>
      </c>
      <c r="B346">
        <v>34</v>
      </c>
      <c r="C346">
        <v>2025</v>
      </c>
      <c r="D346">
        <v>1</v>
      </c>
      <c r="E346">
        <v>15</v>
      </c>
      <c r="F346">
        <f>Sayfa1!C346-273.15</f>
        <v>16.373254394531273</v>
      </c>
      <c r="G346">
        <v>25.326278686523438</v>
      </c>
      <c r="H346">
        <f>SQRT(Sayfa1!D346^2+Sayfa1!E346^2)</f>
        <v>4.1412708582301194</v>
      </c>
      <c r="I346">
        <f>SUM(Sayfa1!G323:G346)</f>
        <v>0</v>
      </c>
    </row>
    <row r="347" spans="1:9" x14ac:dyDescent="0.3">
      <c r="A347">
        <v>-118.5</v>
      </c>
      <c r="B347">
        <v>34</v>
      </c>
      <c r="C347">
        <v>2025</v>
      </c>
      <c r="D347">
        <v>1</v>
      </c>
      <c r="E347">
        <v>15</v>
      </c>
      <c r="F347">
        <f>Sayfa1!C347-273.15</f>
        <v>16.137048339843773</v>
      </c>
      <c r="G347">
        <v>26.335561752319336</v>
      </c>
      <c r="H347">
        <f>SQRT(Sayfa1!D347^2+Sayfa1!E347^2)</f>
        <v>4.1137402803699814</v>
      </c>
      <c r="I347">
        <f>SUM(Sayfa1!G324:G347)</f>
        <v>0</v>
      </c>
    </row>
    <row r="348" spans="1:9" x14ac:dyDescent="0.3">
      <c r="A348">
        <v>-118.5</v>
      </c>
      <c r="B348">
        <v>34</v>
      </c>
      <c r="C348">
        <v>2025</v>
      </c>
      <c r="D348">
        <v>1</v>
      </c>
      <c r="E348">
        <v>15</v>
      </c>
      <c r="F348">
        <f>Sayfa1!C348-273.15</f>
        <v>17.195397949218773</v>
      </c>
      <c r="G348">
        <v>25.910064697265625</v>
      </c>
      <c r="H348">
        <f>SQRT(Sayfa1!D348^2+Sayfa1!E348^2)</f>
        <v>3.1976585557814787</v>
      </c>
      <c r="I348">
        <f>SUM(Sayfa1!G325:G348)</f>
        <v>0</v>
      </c>
    </row>
    <row r="349" spans="1:9" x14ac:dyDescent="0.3">
      <c r="A349">
        <v>-118.5</v>
      </c>
      <c r="B349">
        <v>34</v>
      </c>
      <c r="C349">
        <v>2025</v>
      </c>
      <c r="D349">
        <v>1</v>
      </c>
      <c r="E349">
        <v>15</v>
      </c>
      <c r="F349">
        <f>Sayfa1!C349-273.15</f>
        <v>16.895593261718773</v>
      </c>
      <c r="G349">
        <v>27.287786483764648</v>
      </c>
      <c r="H349">
        <f>SQRT(Sayfa1!D349^2+Sayfa1!E349^2)</f>
        <v>2.8084034497557688</v>
      </c>
      <c r="I349">
        <f>SUM(Sayfa1!G326:G349)</f>
        <v>0</v>
      </c>
    </row>
    <row r="350" spans="1:9" x14ac:dyDescent="0.3">
      <c r="A350">
        <v>-118.5</v>
      </c>
      <c r="B350">
        <v>34</v>
      </c>
      <c r="C350">
        <v>2025</v>
      </c>
      <c r="D350">
        <v>1</v>
      </c>
      <c r="E350">
        <v>15</v>
      </c>
      <c r="F350">
        <f>Sayfa1!C350-273.15</f>
        <v>16.566369628906273</v>
      </c>
      <c r="G350">
        <v>28.668560028076172</v>
      </c>
      <c r="H350">
        <f>SQRT(Sayfa1!D350^2+Sayfa1!E350^2)</f>
        <v>3.1411750677084331</v>
      </c>
      <c r="I350">
        <f>SUM(Sayfa1!G327:G350)</f>
        <v>0</v>
      </c>
    </row>
    <row r="351" spans="1:9" x14ac:dyDescent="0.3">
      <c r="A351">
        <v>-118.5</v>
      </c>
      <c r="B351">
        <v>34</v>
      </c>
      <c r="C351">
        <v>2025</v>
      </c>
      <c r="D351">
        <v>1</v>
      </c>
      <c r="E351">
        <v>15</v>
      </c>
      <c r="F351">
        <f>Sayfa1!C351-273.15</f>
        <v>16.287561035156273</v>
      </c>
      <c r="G351">
        <v>29.889022827148438</v>
      </c>
      <c r="H351">
        <f>SQRT(Sayfa1!D351^2+Sayfa1!E351^2)</f>
        <v>3.297336520218173</v>
      </c>
      <c r="I351">
        <f>SUM(Sayfa1!G328:G351)</f>
        <v>0</v>
      </c>
    </row>
    <row r="352" spans="1:9" x14ac:dyDescent="0.3">
      <c r="A352">
        <v>-118.5</v>
      </c>
      <c r="B352">
        <v>34</v>
      </c>
      <c r="C352">
        <v>2025</v>
      </c>
      <c r="D352">
        <v>1</v>
      </c>
      <c r="E352">
        <v>15</v>
      </c>
      <c r="F352">
        <f>Sayfa1!C352-273.15</f>
        <v>16.167138671875023</v>
      </c>
      <c r="G352">
        <v>30.187274932861328</v>
      </c>
      <c r="H352">
        <f>SQRT(Sayfa1!D352^2+Sayfa1!E352^2)</f>
        <v>3.4266052673146326</v>
      </c>
      <c r="I352">
        <f>SUM(Sayfa1!G329:G352)</f>
        <v>0</v>
      </c>
    </row>
    <row r="353" spans="1:9" x14ac:dyDescent="0.3">
      <c r="A353">
        <v>-118.5</v>
      </c>
      <c r="B353">
        <v>34</v>
      </c>
      <c r="C353">
        <v>2025</v>
      </c>
      <c r="D353">
        <v>1</v>
      </c>
      <c r="E353">
        <v>15</v>
      </c>
      <c r="F353">
        <f>Sayfa1!C353-273.15</f>
        <v>16.103601074218773</v>
      </c>
      <c r="G353">
        <v>30.323570251464844</v>
      </c>
      <c r="H353">
        <f>SQRT(Sayfa1!D353^2+Sayfa1!E353^2)</f>
        <v>3.3854757410559264</v>
      </c>
      <c r="I353">
        <f>SUM(Sayfa1!G330:G353)</f>
        <v>0</v>
      </c>
    </row>
    <row r="354" spans="1:9" x14ac:dyDescent="0.3">
      <c r="A354">
        <v>-118.5</v>
      </c>
      <c r="B354">
        <v>34</v>
      </c>
      <c r="C354">
        <v>2025</v>
      </c>
      <c r="D354">
        <v>1</v>
      </c>
      <c r="E354">
        <v>15</v>
      </c>
      <c r="F354">
        <f>Sayfa1!C354-273.15</f>
        <v>16.086145019531273</v>
      </c>
      <c r="G354">
        <v>28.147006988525391</v>
      </c>
      <c r="H354">
        <f>SQRT(Sayfa1!D354^2+Sayfa1!E354^2)</f>
        <v>3.259321023884084</v>
      </c>
      <c r="I354">
        <f>SUM(Sayfa1!G331:G354)</f>
        <v>0</v>
      </c>
    </row>
    <row r="355" spans="1:9" x14ac:dyDescent="0.3">
      <c r="A355">
        <v>-118.5</v>
      </c>
      <c r="B355">
        <v>34</v>
      </c>
      <c r="C355">
        <v>2025</v>
      </c>
      <c r="D355">
        <v>1</v>
      </c>
      <c r="E355">
        <v>15</v>
      </c>
      <c r="F355">
        <f>Sayfa1!C355-273.15</f>
        <v>16.060449218750023</v>
      </c>
      <c r="G355">
        <v>21.690004348754883</v>
      </c>
      <c r="H355">
        <f>SQRT(Sayfa1!D355^2+Sayfa1!E355^2)</f>
        <v>2.9594568844708382</v>
      </c>
      <c r="I355">
        <f>SUM(Sayfa1!G332:G355)</f>
        <v>0</v>
      </c>
    </row>
    <row r="356" spans="1:9" x14ac:dyDescent="0.3">
      <c r="A356">
        <v>-118.5</v>
      </c>
      <c r="B356">
        <v>34</v>
      </c>
      <c r="C356">
        <v>2025</v>
      </c>
      <c r="D356">
        <v>1</v>
      </c>
      <c r="E356">
        <v>15</v>
      </c>
      <c r="F356">
        <f>Sayfa1!C356-273.15</f>
        <v>16.009973144531273</v>
      </c>
      <c r="G356">
        <v>16.740425109863281</v>
      </c>
      <c r="H356">
        <f>SQRT(Sayfa1!D356^2+Sayfa1!E356^2)</f>
        <v>2.8433267403583149</v>
      </c>
      <c r="I356">
        <f>SUM(Sayfa1!G333:G356)</f>
        <v>0</v>
      </c>
    </row>
    <row r="357" spans="1:9" x14ac:dyDescent="0.3">
      <c r="A357">
        <v>-118.5</v>
      </c>
      <c r="B357">
        <v>34</v>
      </c>
      <c r="C357">
        <v>2025</v>
      </c>
      <c r="D357">
        <v>1</v>
      </c>
      <c r="E357">
        <v>15</v>
      </c>
      <c r="F357">
        <f>Sayfa1!C357-273.15</f>
        <v>17.301416015625023</v>
      </c>
      <c r="G357">
        <v>15.378139495849609</v>
      </c>
      <c r="H357">
        <f>SQRT(Sayfa1!D357^2+Sayfa1!E357^2)</f>
        <v>2.5889971444429216</v>
      </c>
      <c r="I357">
        <f>SUM(Sayfa1!G334:G357)</f>
        <v>0</v>
      </c>
    </row>
    <row r="358" spans="1:9" x14ac:dyDescent="0.3">
      <c r="A358">
        <v>-118.5</v>
      </c>
      <c r="B358">
        <v>34</v>
      </c>
      <c r="C358">
        <v>2025</v>
      </c>
      <c r="D358">
        <v>1</v>
      </c>
      <c r="E358">
        <v>15</v>
      </c>
      <c r="F358">
        <f>Sayfa1!C358-273.15</f>
        <v>18.608728027343773</v>
      </c>
      <c r="G358">
        <v>14.338765144348145</v>
      </c>
      <c r="H358">
        <f>SQRT(Sayfa1!D358^2+Sayfa1!E358^2)</f>
        <v>1.8442883439272111</v>
      </c>
      <c r="I358">
        <f>SUM(Sayfa1!G335:G358)</f>
        <v>0</v>
      </c>
    </row>
    <row r="359" spans="1:9" x14ac:dyDescent="0.3">
      <c r="A359">
        <v>-118.5</v>
      </c>
      <c r="B359">
        <v>34</v>
      </c>
      <c r="C359">
        <v>2025</v>
      </c>
      <c r="D359">
        <v>1</v>
      </c>
      <c r="E359">
        <v>15</v>
      </c>
      <c r="F359">
        <f>Sayfa1!C359-273.15</f>
        <v>19.265710449218773</v>
      </c>
      <c r="G359">
        <v>14.053806304931641</v>
      </c>
      <c r="H359">
        <f>SQRT(Sayfa1!D359^2+Sayfa1!E359^2)</f>
        <v>1.6368938861756623</v>
      </c>
      <c r="I359">
        <f>SUM(Sayfa1!G336:G359)</f>
        <v>0</v>
      </c>
    </row>
    <row r="360" spans="1:9" x14ac:dyDescent="0.3">
      <c r="A360">
        <v>-118.5</v>
      </c>
      <c r="B360">
        <v>34</v>
      </c>
      <c r="C360">
        <v>2025</v>
      </c>
      <c r="D360">
        <v>1</v>
      </c>
      <c r="E360">
        <v>15</v>
      </c>
      <c r="F360">
        <f>Sayfa1!C360-273.15</f>
        <v>19.383752441406273</v>
      </c>
      <c r="G360">
        <v>13.949411392211914</v>
      </c>
      <c r="H360">
        <f>SQRT(Sayfa1!D360^2+Sayfa1!E360^2)</f>
        <v>2.1099568607568484</v>
      </c>
      <c r="I360">
        <f>SUM(Sayfa1!G337:G360)</f>
        <v>0</v>
      </c>
    </row>
    <row r="361" spans="1:9" x14ac:dyDescent="0.3">
      <c r="A361">
        <v>-118.5</v>
      </c>
      <c r="B361">
        <v>34</v>
      </c>
      <c r="C361">
        <v>2025</v>
      </c>
      <c r="D361">
        <v>1</v>
      </c>
      <c r="E361">
        <v>15</v>
      </c>
      <c r="F361">
        <f>Sayfa1!C361-273.15</f>
        <v>19.231042480468773</v>
      </c>
      <c r="G361">
        <v>15.218804359436035</v>
      </c>
      <c r="H361">
        <f>SQRT(Sayfa1!D361^2+Sayfa1!E361^2)</f>
        <v>2.0952841599021386</v>
      </c>
      <c r="I361">
        <f>SUM(Sayfa1!G338:G361)</f>
        <v>0</v>
      </c>
    </row>
    <row r="362" spans="1:9" x14ac:dyDescent="0.3">
      <c r="A362">
        <v>-118.5</v>
      </c>
      <c r="B362">
        <v>34</v>
      </c>
      <c r="C362">
        <v>2025</v>
      </c>
      <c r="D362">
        <v>1</v>
      </c>
      <c r="E362">
        <v>16</v>
      </c>
      <c r="F362">
        <f>Sayfa1!C362-273.15</f>
        <v>18.767053222656273</v>
      </c>
      <c r="G362">
        <v>17.112310409545898</v>
      </c>
      <c r="H362">
        <f>SQRT(Sayfa1!D362^2+Sayfa1!E362^2)</f>
        <v>2.4599267948990962</v>
      </c>
      <c r="I362">
        <f>SUM(Sayfa1!G339:G362)</f>
        <v>0</v>
      </c>
    </row>
    <row r="363" spans="1:9" x14ac:dyDescent="0.3">
      <c r="A363">
        <v>-118.5</v>
      </c>
      <c r="B363">
        <v>34</v>
      </c>
      <c r="C363">
        <v>2025</v>
      </c>
      <c r="D363">
        <v>1</v>
      </c>
      <c r="E363">
        <v>16</v>
      </c>
      <c r="F363">
        <f>Sayfa1!C363-273.15</f>
        <v>18.043298339843773</v>
      </c>
      <c r="G363">
        <v>17.391769409179688</v>
      </c>
      <c r="H363">
        <f>SQRT(Sayfa1!D363^2+Sayfa1!E363^2)</f>
        <v>2.7339643574080763</v>
      </c>
      <c r="I363">
        <f>SUM(Sayfa1!G340:G363)</f>
        <v>0</v>
      </c>
    </row>
    <row r="364" spans="1:9" x14ac:dyDescent="0.3">
      <c r="A364">
        <v>-118.5</v>
      </c>
      <c r="B364">
        <v>34</v>
      </c>
      <c r="C364">
        <v>2025</v>
      </c>
      <c r="D364">
        <v>1</v>
      </c>
      <c r="E364">
        <v>16</v>
      </c>
      <c r="F364">
        <f>Sayfa1!C364-273.15</f>
        <v>17.335778808593773</v>
      </c>
      <c r="G364">
        <v>19.265922546386719</v>
      </c>
      <c r="H364">
        <f>SQRT(Sayfa1!D364^2+Sayfa1!E364^2)</f>
        <v>1.9022813915654804</v>
      </c>
      <c r="I364">
        <f>SUM(Sayfa1!G341:G364)</f>
        <v>0</v>
      </c>
    </row>
    <row r="365" spans="1:9" x14ac:dyDescent="0.3">
      <c r="A365">
        <v>-118.5</v>
      </c>
      <c r="B365">
        <v>34</v>
      </c>
      <c r="C365">
        <v>2025</v>
      </c>
      <c r="D365">
        <v>1</v>
      </c>
      <c r="E365">
        <v>16</v>
      </c>
      <c r="F365">
        <f>Sayfa1!C365-273.15</f>
        <v>16.907983398437523</v>
      </c>
      <c r="G365">
        <v>19.820571899414063</v>
      </c>
      <c r="H365">
        <f>SQRT(Sayfa1!D365^2+Sayfa1!E365^2)</f>
        <v>1.4008575552838718</v>
      </c>
      <c r="I365">
        <f>SUM(Sayfa1!G342:G365)</f>
        <v>0</v>
      </c>
    </row>
    <row r="366" spans="1:9" x14ac:dyDescent="0.3">
      <c r="A366">
        <v>-118.5</v>
      </c>
      <c r="B366">
        <v>34</v>
      </c>
      <c r="C366">
        <v>2025</v>
      </c>
      <c r="D366">
        <v>1</v>
      </c>
      <c r="E366">
        <v>16</v>
      </c>
      <c r="F366">
        <f>Sayfa1!C366-273.15</f>
        <v>16.818505859375023</v>
      </c>
      <c r="G366">
        <v>18.918182373046875</v>
      </c>
      <c r="H366">
        <f>SQRT(Sayfa1!D366^2+Sayfa1!E366^2)</f>
        <v>1.5502402475358577</v>
      </c>
      <c r="I366">
        <f>SUM(Sayfa1!G343:G366)</f>
        <v>0</v>
      </c>
    </row>
    <row r="367" spans="1:9" x14ac:dyDescent="0.3">
      <c r="A367">
        <v>-118.5</v>
      </c>
      <c r="B367">
        <v>34</v>
      </c>
      <c r="C367">
        <v>2025</v>
      </c>
      <c r="D367">
        <v>1</v>
      </c>
      <c r="E367">
        <v>16</v>
      </c>
      <c r="F367">
        <f>Sayfa1!C367-273.15</f>
        <v>16.756677246093773</v>
      </c>
      <c r="G367">
        <v>19.754560470581055</v>
      </c>
      <c r="H367">
        <f>SQRT(Sayfa1!D367^2+Sayfa1!E367^2)</f>
        <v>2.2867694353404762</v>
      </c>
      <c r="I367">
        <f>SUM(Sayfa1!G344:G367)</f>
        <v>0</v>
      </c>
    </row>
    <row r="368" spans="1:9" x14ac:dyDescent="0.3">
      <c r="A368">
        <v>-118.5</v>
      </c>
      <c r="B368">
        <v>34</v>
      </c>
      <c r="C368">
        <v>2025</v>
      </c>
      <c r="D368">
        <v>1</v>
      </c>
      <c r="E368">
        <v>16</v>
      </c>
      <c r="F368">
        <f>Sayfa1!C368-273.15</f>
        <v>16.788049316406273</v>
      </c>
      <c r="G368">
        <v>21.596733093261719</v>
      </c>
      <c r="H368">
        <f>SQRT(Sayfa1!D368^2+Sayfa1!E368^2)</f>
        <v>2.8177548393037783</v>
      </c>
      <c r="I368">
        <f>SUM(Sayfa1!G345:G368)</f>
        <v>0</v>
      </c>
    </row>
    <row r="369" spans="1:9" x14ac:dyDescent="0.3">
      <c r="A369">
        <v>-118.5</v>
      </c>
      <c r="B369">
        <v>34</v>
      </c>
      <c r="C369">
        <v>2025</v>
      </c>
      <c r="D369">
        <v>1</v>
      </c>
      <c r="E369">
        <v>16</v>
      </c>
      <c r="F369">
        <f>Sayfa1!C369-273.15</f>
        <v>16.951745605468773</v>
      </c>
      <c r="G369">
        <v>23.270486831665039</v>
      </c>
      <c r="H369">
        <f>SQRT(Sayfa1!D369^2+Sayfa1!E369^2)</f>
        <v>3.0841799270343402</v>
      </c>
      <c r="I369">
        <f>SUM(Sayfa1!G346:G369)</f>
        <v>0</v>
      </c>
    </row>
    <row r="370" spans="1:9" x14ac:dyDescent="0.3">
      <c r="A370">
        <v>-118.5</v>
      </c>
      <c r="B370">
        <v>34</v>
      </c>
      <c r="C370">
        <v>2025</v>
      </c>
      <c r="D370">
        <v>1</v>
      </c>
      <c r="E370">
        <v>16</v>
      </c>
      <c r="F370">
        <f>Sayfa1!C370-273.15</f>
        <v>17.045312500000023</v>
      </c>
      <c r="G370">
        <v>24.92559814453125</v>
      </c>
      <c r="H370">
        <f>SQRT(Sayfa1!D370^2+Sayfa1!E370^2)</f>
        <v>3.1427191660951714</v>
      </c>
      <c r="I370">
        <f>SUM(Sayfa1!G347:G370)</f>
        <v>0</v>
      </c>
    </row>
    <row r="371" spans="1:9" x14ac:dyDescent="0.3">
      <c r="A371">
        <v>-118.5</v>
      </c>
      <c r="B371">
        <v>34</v>
      </c>
      <c r="C371">
        <v>2025</v>
      </c>
      <c r="D371">
        <v>1</v>
      </c>
      <c r="E371">
        <v>16</v>
      </c>
      <c r="F371">
        <f>Sayfa1!C371-273.15</f>
        <v>17.010461425781273</v>
      </c>
      <c r="G371">
        <v>26.481536865234375</v>
      </c>
      <c r="H371">
        <f>SQRT(Sayfa1!D371^2+Sayfa1!E371^2)</f>
        <v>3.0601477148160021</v>
      </c>
      <c r="I371">
        <f>SUM(Sayfa1!G348:G371)</f>
        <v>0</v>
      </c>
    </row>
    <row r="372" spans="1:9" x14ac:dyDescent="0.3">
      <c r="A372">
        <v>-118.5</v>
      </c>
      <c r="B372">
        <v>34</v>
      </c>
      <c r="C372">
        <v>2025</v>
      </c>
      <c r="D372">
        <v>1</v>
      </c>
      <c r="E372">
        <v>16</v>
      </c>
      <c r="F372">
        <f>Sayfa1!C372-273.15</f>
        <v>16.815576171875023</v>
      </c>
      <c r="G372">
        <v>27.252582550048828</v>
      </c>
      <c r="H372">
        <f>SQRT(Sayfa1!D372^2+Sayfa1!E372^2)</f>
        <v>2.9738826760266033</v>
      </c>
      <c r="I372">
        <f>SUM(Sayfa1!G349:G372)</f>
        <v>0</v>
      </c>
    </row>
    <row r="373" spans="1:9" x14ac:dyDescent="0.3">
      <c r="A373">
        <v>-118.5</v>
      </c>
      <c r="B373">
        <v>34</v>
      </c>
      <c r="C373">
        <v>2025</v>
      </c>
      <c r="D373">
        <v>1</v>
      </c>
      <c r="E373">
        <v>16</v>
      </c>
      <c r="F373">
        <f>Sayfa1!C373-273.15</f>
        <v>16.515161132812523</v>
      </c>
      <c r="G373">
        <v>27.993198394775391</v>
      </c>
      <c r="H373">
        <f>SQRT(Sayfa1!D373^2+Sayfa1!E373^2)</f>
        <v>2.9992515048076482</v>
      </c>
      <c r="I373">
        <f>SUM(Sayfa1!G350:G373)</f>
        <v>0</v>
      </c>
    </row>
    <row r="374" spans="1:9" x14ac:dyDescent="0.3">
      <c r="A374">
        <v>-118.5</v>
      </c>
      <c r="B374">
        <v>34</v>
      </c>
      <c r="C374">
        <v>2025</v>
      </c>
      <c r="D374">
        <v>1</v>
      </c>
      <c r="E374">
        <v>16</v>
      </c>
      <c r="F374">
        <f>Sayfa1!C374-273.15</f>
        <v>16.142907714843773</v>
      </c>
      <c r="G374">
        <v>28.297601699829102</v>
      </c>
      <c r="H374">
        <f>SQRT(Sayfa1!D374^2+Sayfa1!E374^2)</f>
        <v>2.8240329734421739</v>
      </c>
      <c r="I374">
        <f>SUM(Sayfa1!G351:G374)</f>
        <v>0</v>
      </c>
    </row>
    <row r="375" spans="1:9" x14ac:dyDescent="0.3">
      <c r="A375">
        <v>-118.5</v>
      </c>
      <c r="B375">
        <v>34</v>
      </c>
      <c r="C375">
        <v>2025</v>
      </c>
      <c r="D375">
        <v>1</v>
      </c>
      <c r="E375">
        <v>16</v>
      </c>
      <c r="F375">
        <f>Sayfa1!C375-273.15</f>
        <v>15.799218750000023</v>
      </c>
      <c r="G375">
        <v>28.878194808959961</v>
      </c>
      <c r="H375">
        <f>SQRT(Sayfa1!D375^2+Sayfa1!E375^2)</f>
        <v>2.7677686783171787</v>
      </c>
      <c r="I375">
        <f>SUM(Sayfa1!G352:G375)</f>
        <v>0</v>
      </c>
    </row>
    <row r="376" spans="1:9" x14ac:dyDescent="0.3">
      <c r="A376">
        <v>-118.5</v>
      </c>
      <c r="B376">
        <v>34</v>
      </c>
      <c r="C376">
        <v>2025</v>
      </c>
      <c r="D376">
        <v>1</v>
      </c>
      <c r="E376">
        <v>16</v>
      </c>
      <c r="F376">
        <f>Sayfa1!C376-273.15</f>
        <v>15.687036132812523</v>
      </c>
      <c r="G376">
        <v>30.157054901123047</v>
      </c>
      <c r="H376">
        <f>SQRT(Sayfa1!D376^2+Sayfa1!E376^2)</f>
        <v>2.7782407593776743</v>
      </c>
      <c r="I376">
        <f>SUM(Sayfa1!G353:G376)</f>
        <v>0</v>
      </c>
    </row>
    <row r="377" spans="1:9" x14ac:dyDescent="0.3">
      <c r="A377">
        <v>-118.5</v>
      </c>
      <c r="B377">
        <v>34</v>
      </c>
      <c r="C377">
        <v>2025</v>
      </c>
      <c r="D377">
        <v>1</v>
      </c>
      <c r="E377">
        <v>16</v>
      </c>
      <c r="F377">
        <f>Sayfa1!C377-273.15</f>
        <v>15.611291503906273</v>
      </c>
      <c r="G377">
        <v>31.365207672119141</v>
      </c>
      <c r="H377">
        <f>SQRT(Sayfa1!D377^2+Sayfa1!E377^2)</f>
        <v>2.6146539086832941</v>
      </c>
      <c r="I377">
        <f>SUM(Sayfa1!G354:G377)</f>
        <v>0</v>
      </c>
    </row>
    <row r="378" spans="1:9" x14ac:dyDescent="0.3">
      <c r="A378">
        <v>-118.5</v>
      </c>
      <c r="B378">
        <v>34</v>
      </c>
      <c r="C378">
        <v>2025</v>
      </c>
      <c r="D378">
        <v>1</v>
      </c>
      <c r="E378">
        <v>16</v>
      </c>
      <c r="F378">
        <f>Sayfa1!C378-273.15</f>
        <v>15.477929687500023</v>
      </c>
      <c r="G378">
        <v>30.28070068359375</v>
      </c>
      <c r="H378">
        <f>SQRT(Sayfa1!D378^2+Sayfa1!E378^2)</f>
        <v>2.2340450951971724</v>
      </c>
      <c r="I378">
        <f>SUM(Sayfa1!G355:G378)</f>
        <v>0</v>
      </c>
    </row>
    <row r="379" spans="1:9" x14ac:dyDescent="0.3">
      <c r="A379">
        <v>-118.5</v>
      </c>
      <c r="B379">
        <v>34</v>
      </c>
      <c r="C379">
        <v>2025</v>
      </c>
      <c r="D379">
        <v>1</v>
      </c>
      <c r="E379">
        <v>16</v>
      </c>
      <c r="F379">
        <f>Sayfa1!C379-273.15</f>
        <v>15.321130371093773</v>
      </c>
      <c r="G379">
        <v>23.899709701538086</v>
      </c>
      <c r="H379">
        <f>SQRT(Sayfa1!D379^2+Sayfa1!E379^2)</f>
        <v>1.5460110745780369</v>
      </c>
      <c r="I379">
        <f>SUM(Sayfa1!G356:G379)</f>
        <v>0</v>
      </c>
    </row>
    <row r="380" spans="1:9" x14ac:dyDescent="0.3">
      <c r="A380">
        <v>-118.5</v>
      </c>
      <c r="B380">
        <v>34</v>
      </c>
      <c r="C380">
        <v>2025</v>
      </c>
      <c r="D380">
        <v>1</v>
      </c>
      <c r="E380">
        <v>16</v>
      </c>
      <c r="F380">
        <f>Sayfa1!C380-273.15</f>
        <v>15.004083251953148</v>
      </c>
      <c r="G380">
        <v>16.064720153808594</v>
      </c>
      <c r="H380">
        <f>SQRT(Sayfa1!D380^2+Sayfa1!E380^2)</f>
        <v>0.92608576129509101</v>
      </c>
      <c r="I380">
        <f>SUM(Sayfa1!G357:G380)</f>
        <v>0</v>
      </c>
    </row>
    <row r="381" spans="1:9" x14ac:dyDescent="0.3">
      <c r="A381">
        <v>-118.5</v>
      </c>
      <c r="B381">
        <v>34</v>
      </c>
      <c r="C381">
        <v>2025</v>
      </c>
      <c r="D381">
        <v>1</v>
      </c>
      <c r="E381">
        <v>16</v>
      </c>
      <c r="F381">
        <f>Sayfa1!C381-273.15</f>
        <v>16.188623046875023</v>
      </c>
      <c r="G381">
        <v>13.823026657104492</v>
      </c>
      <c r="H381">
        <f>SQRT(Sayfa1!D381^2+Sayfa1!E381^2)</f>
        <v>0.24642548926992927</v>
      </c>
      <c r="I381">
        <f>SUM(Sayfa1!G358:G381)</f>
        <v>0</v>
      </c>
    </row>
    <row r="382" spans="1:9" x14ac:dyDescent="0.3">
      <c r="A382">
        <v>-118.5</v>
      </c>
      <c r="B382">
        <v>34</v>
      </c>
      <c r="C382">
        <v>2025</v>
      </c>
      <c r="D382">
        <v>1</v>
      </c>
      <c r="E382">
        <v>16</v>
      </c>
      <c r="F382">
        <f>Sayfa1!C382-273.15</f>
        <v>17.081750488281273</v>
      </c>
      <c r="G382">
        <v>14.755428314208984</v>
      </c>
      <c r="H382">
        <f>SQRT(Sayfa1!D382^2+Sayfa1!E382^2)</f>
        <v>1.7256449991264227</v>
      </c>
      <c r="I382">
        <f>SUM(Sayfa1!G359:G382)</f>
        <v>0</v>
      </c>
    </row>
    <row r="383" spans="1:9" x14ac:dyDescent="0.3">
      <c r="A383">
        <v>-118.5</v>
      </c>
      <c r="B383">
        <v>34</v>
      </c>
      <c r="C383">
        <v>2025</v>
      </c>
      <c r="D383">
        <v>1</v>
      </c>
      <c r="E383">
        <v>16</v>
      </c>
      <c r="F383">
        <f>Sayfa1!C383-273.15</f>
        <v>17.192895507812523</v>
      </c>
      <c r="G383">
        <v>22.81895637512207</v>
      </c>
      <c r="H383">
        <f>SQRT(Sayfa1!D383^2+Sayfa1!E383^2)</f>
        <v>3.1593631118120724</v>
      </c>
      <c r="I383">
        <f>SUM(Sayfa1!G360:G383)</f>
        <v>0</v>
      </c>
    </row>
    <row r="384" spans="1:9" x14ac:dyDescent="0.3">
      <c r="A384">
        <v>-118.5</v>
      </c>
      <c r="B384">
        <v>34</v>
      </c>
      <c r="C384">
        <v>2025</v>
      </c>
      <c r="D384">
        <v>1</v>
      </c>
      <c r="E384">
        <v>16</v>
      </c>
      <c r="F384">
        <f>Sayfa1!C384-273.15</f>
        <v>16.235986328125023</v>
      </c>
      <c r="G384">
        <v>30.671941757202148</v>
      </c>
      <c r="H384">
        <f>SQRT(Sayfa1!D384^2+Sayfa1!E384^2)</f>
        <v>4.1926822153357977</v>
      </c>
      <c r="I384">
        <f>SUM(Sayfa1!G361:G384)</f>
        <v>0</v>
      </c>
    </row>
    <row r="385" spans="1:9" x14ac:dyDescent="0.3">
      <c r="A385">
        <v>-118.5</v>
      </c>
      <c r="B385">
        <v>34</v>
      </c>
      <c r="C385">
        <v>2025</v>
      </c>
      <c r="D385">
        <v>1</v>
      </c>
      <c r="E385">
        <v>16</v>
      </c>
      <c r="F385">
        <f>Sayfa1!C385-273.15</f>
        <v>15.714013671875023</v>
      </c>
      <c r="G385">
        <v>37.727062225341797</v>
      </c>
      <c r="H385">
        <f>SQRT(Sayfa1!D385^2+Sayfa1!E385^2)</f>
        <v>4.1812124632507306</v>
      </c>
      <c r="I385">
        <f>SUM(Sayfa1!G362:G385)</f>
        <v>0</v>
      </c>
    </row>
    <row r="386" spans="1:9" x14ac:dyDescent="0.3">
      <c r="A386">
        <v>-118.5</v>
      </c>
      <c r="B386">
        <v>34</v>
      </c>
      <c r="C386">
        <v>2025</v>
      </c>
      <c r="D386">
        <v>1</v>
      </c>
      <c r="E386">
        <v>17</v>
      </c>
      <c r="F386">
        <f>Sayfa1!C386-273.15</f>
        <v>15.056665039062523</v>
      </c>
      <c r="G386">
        <v>44.05352783203125</v>
      </c>
      <c r="H386">
        <f>SQRT(Sayfa1!D386^2+Sayfa1!E386^2)</f>
        <v>3.8886527371019448</v>
      </c>
      <c r="I386">
        <f>SUM(Sayfa1!G363:G386)</f>
        <v>0</v>
      </c>
    </row>
    <row r="387" spans="1:9" x14ac:dyDescent="0.3">
      <c r="A387">
        <v>-118.5</v>
      </c>
      <c r="B387">
        <v>34</v>
      </c>
      <c r="C387">
        <v>2025</v>
      </c>
      <c r="D387">
        <v>1</v>
      </c>
      <c r="E387">
        <v>17</v>
      </c>
      <c r="F387">
        <f>Sayfa1!C387-273.15</f>
        <v>14.112451171875023</v>
      </c>
      <c r="G387">
        <v>52.605743408203125</v>
      </c>
      <c r="H387">
        <f>SQRT(Sayfa1!D387^2+Sayfa1!E387^2)</f>
        <v>3.184875296526565</v>
      </c>
      <c r="I387">
        <f>SUM(Sayfa1!G364:G387)</f>
        <v>0</v>
      </c>
    </row>
    <row r="388" spans="1:9" x14ac:dyDescent="0.3">
      <c r="A388">
        <v>-118.5</v>
      </c>
      <c r="B388">
        <v>34</v>
      </c>
      <c r="C388">
        <v>2025</v>
      </c>
      <c r="D388">
        <v>1</v>
      </c>
      <c r="E388">
        <v>17</v>
      </c>
      <c r="F388">
        <f>Sayfa1!C388-273.15</f>
        <v>13.453698730468773</v>
      </c>
      <c r="G388">
        <v>58.229400634765625</v>
      </c>
      <c r="H388">
        <f>SQRT(Sayfa1!D388^2+Sayfa1!E388^2)</f>
        <v>2.5210651811785834</v>
      </c>
      <c r="I388">
        <f>SUM(Sayfa1!G365:G388)</f>
        <v>0</v>
      </c>
    </row>
    <row r="389" spans="1:9" x14ac:dyDescent="0.3">
      <c r="A389">
        <v>-118.5</v>
      </c>
      <c r="B389">
        <v>34</v>
      </c>
      <c r="C389">
        <v>2025</v>
      </c>
      <c r="D389">
        <v>1</v>
      </c>
      <c r="E389">
        <v>17</v>
      </c>
      <c r="F389">
        <f>Sayfa1!C389-273.15</f>
        <v>12.922448730468773</v>
      </c>
      <c r="G389">
        <v>63.511062622070313</v>
      </c>
      <c r="H389">
        <f>SQRT(Sayfa1!D389^2+Sayfa1!E389^2)</f>
        <v>1.8324641767095562</v>
      </c>
      <c r="I389">
        <f>SUM(Sayfa1!G366:G389)</f>
        <v>0</v>
      </c>
    </row>
    <row r="390" spans="1:9" x14ac:dyDescent="0.3">
      <c r="A390">
        <v>-118.5</v>
      </c>
      <c r="B390">
        <v>34</v>
      </c>
      <c r="C390">
        <v>2025</v>
      </c>
      <c r="D390">
        <v>1</v>
      </c>
      <c r="E390">
        <v>17</v>
      </c>
      <c r="F390">
        <f>Sayfa1!C390-273.15</f>
        <v>12.302026367187523</v>
      </c>
      <c r="G390">
        <v>70.373199462890625</v>
      </c>
      <c r="H390">
        <f>SQRT(Sayfa1!D390^2+Sayfa1!E390^2)</f>
        <v>1.4148517456525189</v>
      </c>
      <c r="I390">
        <f>SUM(Sayfa1!G367:G390)</f>
        <v>0</v>
      </c>
    </row>
    <row r="391" spans="1:9" x14ac:dyDescent="0.3">
      <c r="A391">
        <v>-118.5</v>
      </c>
      <c r="B391">
        <v>34</v>
      </c>
      <c r="C391">
        <v>2025</v>
      </c>
      <c r="D391">
        <v>1</v>
      </c>
      <c r="E391">
        <v>17</v>
      </c>
      <c r="F391">
        <f>Sayfa1!C391-273.15</f>
        <v>11.781213378906273</v>
      </c>
      <c r="G391">
        <v>75.340789794921875</v>
      </c>
      <c r="H391">
        <f>SQRT(Sayfa1!D391^2+Sayfa1!E391^2)</f>
        <v>1.5839069806304744</v>
      </c>
      <c r="I391">
        <f>SUM(Sayfa1!G368:G391)</f>
        <v>0</v>
      </c>
    </row>
    <row r="392" spans="1:9" x14ac:dyDescent="0.3">
      <c r="A392">
        <v>-118.5</v>
      </c>
      <c r="B392">
        <v>34</v>
      </c>
      <c r="C392">
        <v>2025</v>
      </c>
      <c r="D392">
        <v>1</v>
      </c>
      <c r="E392">
        <v>17</v>
      </c>
      <c r="F392">
        <f>Sayfa1!C392-273.15</f>
        <v>11.398400878906273</v>
      </c>
      <c r="G392">
        <v>77.313491821289063</v>
      </c>
      <c r="H392">
        <f>SQRT(Sayfa1!D392^2+Sayfa1!E392^2)</f>
        <v>1.821491070773825</v>
      </c>
      <c r="I392">
        <f>SUM(Sayfa1!G369:G392)</f>
        <v>0</v>
      </c>
    </row>
    <row r="393" spans="1:9" x14ac:dyDescent="0.3">
      <c r="A393">
        <v>-118.5</v>
      </c>
      <c r="B393">
        <v>34</v>
      </c>
      <c r="C393">
        <v>2025</v>
      </c>
      <c r="D393">
        <v>1</v>
      </c>
      <c r="E393">
        <v>17</v>
      </c>
      <c r="F393">
        <f>Sayfa1!C393-273.15</f>
        <v>11.126977539062523</v>
      </c>
      <c r="G393">
        <v>78.8360595703125</v>
      </c>
      <c r="H393">
        <f>SQRT(Sayfa1!D393^2+Sayfa1!E393^2)</f>
        <v>1.8502132702950318</v>
      </c>
      <c r="I393">
        <f>SUM(Sayfa1!G370:G393)</f>
        <v>0</v>
      </c>
    </row>
    <row r="394" spans="1:9" x14ac:dyDescent="0.3">
      <c r="A394">
        <v>-118.5</v>
      </c>
      <c r="B394">
        <v>34</v>
      </c>
      <c r="C394">
        <v>2025</v>
      </c>
      <c r="D394">
        <v>1</v>
      </c>
      <c r="E394">
        <v>17</v>
      </c>
      <c r="F394">
        <f>Sayfa1!C394-273.15</f>
        <v>10.896691894531273</v>
      </c>
      <c r="G394">
        <v>80.682998657226563</v>
      </c>
      <c r="H394">
        <f>SQRT(Sayfa1!D394^2+Sayfa1!E394^2)</f>
        <v>1.6736869844311884</v>
      </c>
      <c r="I394">
        <f>SUM(Sayfa1!G371:G394)</f>
        <v>0</v>
      </c>
    </row>
    <row r="395" spans="1:9" x14ac:dyDescent="0.3">
      <c r="A395">
        <v>-118.5</v>
      </c>
      <c r="B395">
        <v>34</v>
      </c>
      <c r="C395">
        <v>2025</v>
      </c>
      <c r="D395">
        <v>1</v>
      </c>
      <c r="E395">
        <v>17</v>
      </c>
      <c r="F395">
        <f>Sayfa1!C395-273.15</f>
        <v>10.679956054687523</v>
      </c>
      <c r="G395">
        <v>82.701934814453125</v>
      </c>
      <c r="H395">
        <f>SQRT(Sayfa1!D395^2+Sayfa1!E395^2)</f>
        <v>1.53559212686186</v>
      </c>
      <c r="I395">
        <f>SUM(Sayfa1!G372:G395)</f>
        <v>0</v>
      </c>
    </row>
    <row r="396" spans="1:9" x14ac:dyDescent="0.3">
      <c r="A396">
        <v>-118.5</v>
      </c>
      <c r="B396">
        <v>34</v>
      </c>
      <c r="C396">
        <v>2025</v>
      </c>
      <c r="D396">
        <v>1</v>
      </c>
      <c r="E396">
        <v>17</v>
      </c>
      <c r="F396">
        <f>Sayfa1!C396-273.15</f>
        <v>10.514978027343773</v>
      </c>
      <c r="G396">
        <v>85.839599609375</v>
      </c>
      <c r="H396">
        <f>SQRT(Sayfa1!D396^2+Sayfa1!E396^2)</f>
        <v>1.4981105044434357</v>
      </c>
      <c r="I396">
        <f>SUM(Sayfa1!G373:G396)</f>
        <v>0</v>
      </c>
    </row>
    <row r="397" spans="1:9" x14ac:dyDescent="0.3">
      <c r="A397">
        <v>-118.5</v>
      </c>
      <c r="B397">
        <v>34</v>
      </c>
      <c r="C397">
        <v>2025</v>
      </c>
      <c r="D397">
        <v>1</v>
      </c>
      <c r="E397">
        <v>17</v>
      </c>
      <c r="F397">
        <f>Sayfa1!C397-273.15</f>
        <v>10.345361328125023</v>
      </c>
      <c r="G397">
        <v>86.306640625</v>
      </c>
      <c r="H397">
        <f>SQRT(Sayfa1!D397^2+Sayfa1!E397^2)</f>
        <v>1.5359178794839032</v>
      </c>
      <c r="I397">
        <f>SUM(Sayfa1!G374:G397)</f>
        <v>0</v>
      </c>
    </row>
    <row r="398" spans="1:9" x14ac:dyDescent="0.3">
      <c r="A398">
        <v>-118.5</v>
      </c>
      <c r="B398">
        <v>34</v>
      </c>
      <c r="C398">
        <v>2025</v>
      </c>
      <c r="D398">
        <v>1</v>
      </c>
      <c r="E398">
        <v>17</v>
      </c>
      <c r="F398">
        <f>Sayfa1!C398-273.15</f>
        <v>10.178186035156273</v>
      </c>
      <c r="G398">
        <v>85.55926513671875</v>
      </c>
      <c r="H398">
        <f>SQRT(Sayfa1!D398^2+Sayfa1!E398^2)</f>
        <v>1.5792071711742373</v>
      </c>
      <c r="I398">
        <f>SUM(Sayfa1!G375:G398)</f>
        <v>0</v>
      </c>
    </row>
    <row r="399" spans="1:9" x14ac:dyDescent="0.3">
      <c r="A399">
        <v>-118.5</v>
      </c>
      <c r="B399">
        <v>34</v>
      </c>
      <c r="C399">
        <v>2025</v>
      </c>
      <c r="D399">
        <v>1</v>
      </c>
      <c r="E399">
        <v>17</v>
      </c>
      <c r="F399">
        <f>Sayfa1!C399-273.15</f>
        <v>9.9091430664062727</v>
      </c>
      <c r="G399">
        <v>87.447921752929688</v>
      </c>
      <c r="H399">
        <f>SQRT(Sayfa1!D399^2+Sayfa1!E399^2)</f>
        <v>1.8608990493170363</v>
      </c>
      <c r="I399">
        <f>SUM(Sayfa1!G376:G399)</f>
        <v>0</v>
      </c>
    </row>
    <row r="400" spans="1:9" x14ac:dyDescent="0.3">
      <c r="A400">
        <v>-118.5</v>
      </c>
      <c r="B400">
        <v>34</v>
      </c>
      <c r="C400">
        <v>2025</v>
      </c>
      <c r="D400">
        <v>1</v>
      </c>
      <c r="E400">
        <v>17</v>
      </c>
      <c r="F400">
        <f>Sayfa1!C400-273.15</f>
        <v>9.7374511718750227</v>
      </c>
      <c r="G400">
        <v>89.05596923828125</v>
      </c>
      <c r="H400">
        <f>SQRT(Sayfa1!D400^2+Sayfa1!E400^2)</f>
        <v>2.3490831098100253</v>
      </c>
      <c r="I400">
        <f>SUM(Sayfa1!G377:G400)</f>
        <v>0</v>
      </c>
    </row>
    <row r="401" spans="1:9" x14ac:dyDescent="0.3">
      <c r="A401">
        <v>-118.5</v>
      </c>
      <c r="B401">
        <v>34</v>
      </c>
      <c r="C401">
        <v>2025</v>
      </c>
      <c r="D401">
        <v>1</v>
      </c>
      <c r="E401">
        <v>17</v>
      </c>
      <c r="F401">
        <f>Sayfa1!C401-273.15</f>
        <v>9.7246948242187727</v>
      </c>
      <c r="G401">
        <v>88.88916015625</v>
      </c>
      <c r="H401">
        <f>SQRT(Sayfa1!D401^2+Sayfa1!E401^2)</f>
        <v>2.5587638565929671</v>
      </c>
      <c r="I401">
        <f>SUM(Sayfa1!G378:G401)</f>
        <v>2.86102294921875E-3</v>
      </c>
    </row>
    <row r="402" spans="1:9" x14ac:dyDescent="0.3">
      <c r="A402">
        <v>-118.5</v>
      </c>
      <c r="B402">
        <v>34</v>
      </c>
      <c r="C402">
        <v>2025</v>
      </c>
      <c r="D402">
        <v>1</v>
      </c>
      <c r="E402">
        <v>17</v>
      </c>
      <c r="F402">
        <f>Sayfa1!C402-273.15</f>
        <v>9.6637207031250227</v>
      </c>
      <c r="G402">
        <v>86.13525390625</v>
      </c>
      <c r="H402">
        <f>SQRT(Sayfa1!D402^2+Sayfa1!E402^2)</f>
        <v>2.4319059211906811</v>
      </c>
      <c r="I402">
        <f>SUM(Sayfa1!G379:G402)</f>
        <v>5.245208740234375E-3</v>
      </c>
    </row>
    <row r="403" spans="1:9" x14ac:dyDescent="0.3">
      <c r="A403">
        <v>-118.5</v>
      </c>
      <c r="B403">
        <v>34</v>
      </c>
      <c r="C403">
        <v>2025</v>
      </c>
      <c r="D403">
        <v>1</v>
      </c>
      <c r="E403">
        <v>17</v>
      </c>
      <c r="F403">
        <f>Sayfa1!C403-273.15</f>
        <v>9.7710815429687727</v>
      </c>
      <c r="G403">
        <v>76.545440673828125</v>
      </c>
      <c r="H403">
        <f>SQRT(Sayfa1!D403^2+Sayfa1!E403^2)</f>
        <v>2.7250079800830425</v>
      </c>
      <c r="I403">
        <f>SUM(Sayfa1!G380:G403)</f>
        <v>8.106231689453125E-3</v>
      </c>
    </row>
    <row r="404" spans="1:9" x14ac:dyDescent="0.3">
      <c r="A404">
        <v>-118.5</v>
      </c>
      <c r="B404">
        <v>34</v>
      </c>
      <c r="C404">
        <v>2025</v>
      </c>
      <c r="D404">
        <v>1</v>
      </c>
      <c r="E404">
        <v>17</v>
      </c>
      <c r="F404">
        <f>Sayfa1!C404-273.15</f>
        <v>10.769860839843773</v>
      </c>
      <c r="G404">
        <v>66.413589477539063</v>
      </c>
      <c r="H404">
        <f>SQRT(Sayfa1!D404^2+Sayfa1!E404^2)</f>
        <v>2.0859934488684257</v>
      </c>
      <c r="I404">
        <f>SUM(Sayfa1!G381:G404)</f>
        <v>1.3828277587890625E-2</v>
      </c>
    </row>
    <row r="405" spans="1:9" x14ac:dyDescent="0.3">
      <c r="A405">
        <v>-118.5</v>
      </c>
      <c r="B405">
        <v>34</v>
      </c>
      <c r="C405">
        <v>2025</v>
      </c>
      <c r="D405">
        <v>1</v>
      </c>
      <c r="E405">
        <v>17</v>
      </c>
      <c r="F405">
        <f>Sayfa1!C405-273.15</f>
        <v>11.652307128906273</v>
      </c>
      <c r="G405">
        <v>60.280410766601563</v>
      </c>
      <c r="H405">
        <f>SQRT(Sayfa1!D405^2+Sayfa1!E405^2)</f>
        <v>1.7399905069489343</v>
      </c>
      <c r="I405">
        <f>SUM(Sayfa1!G382:G405)</f>
        <v>1.621246337890625E-2</v>
      </c>
    </row>
    <row r="406" spans="1:9" x14ac:dyDescent="0.3">
      <c r="A406">
        <v>-118.5</v>
      </c>
      <c r="B406">
        <v>34</v>
      </c>
      <c r="C406">
        <v>2025</v>
      </c>
      <c r="D406">
        <v>1</v>
      </c>
      <c r="E406">
        <v>17</v>
      </c>
      <c r="F406">
        <f>Sayfa1!C406-273.15</f>
        <v>12.218774414062523</v>
      </c>
      <c r="G406">
        <v>58.732513427734375</v>
      </c>
      <c r="H406">
        <f>SQRT(Sayfa1!D406^2+Sayfa1!E406^2)</f>
        <v>2.0549828091981373</v>
      </c>
      <c r="I406">
        <f>SUM(Sayfa1!G383:G406)</f>
        <v>1.71661376953125E-2</v>
      </c>
    </row>
    <row r="407" spans="1:9" x14ac:dyDescent="0.3">
      <c r="A407">
        <v>-118.5</v>
      </c>
      <c r="B407">
        <v>34</v>
      </c>
      <c r="C407">
        <v>2025</v>
      </c>
      <c r="D407">
        <v>1</v>
      </c>
      <c r="E407">
        <v>17</v>
      </c>
      <c r="F407">
        <f>Sayfa1!C407-273.15</f>
        <v>12.630029296875023</v>
      </c>
      <c r="G407">
        <v>59.815673828125</v>
      </c>
      <c r="H407">
        <f>SQRT(Sayfa1!D407^2+Sayfa1!E407^2)</f>
        <v>2.7623440548942448</v>
      </c>
      <c r="I407">
        <f>SUM(Sayfa1!G384:G407)</f>
        <v>1.7642974853515625E-2</v>
      </c>
    </row>
    <row r="408" spans="1:9" x14ac:dyDescent="0.3">
      <c r="A408">
        <v>-118.5</v>
      </c>
      <c r="B408">
        <v>34</v>
      </c>
      <c r="C408">
        <v>2025</v>
      </c>
      <c r="D408">
        <v>1</v>
      </c>
      <c r="E408">
        <v>17</v>
      </c>
      <c r="F408">
        <f>Sayfa1!C408-273.15</f>
        <v>12.817651367187523</v>
      </c>
      <c r="G408">
        <v>59.844802856445313</v>
      </c>
      <c r="H408">
        <f>SQRT(Sayfa1!D408^2+Sayfa1!E408^2)</f>
        <v>1.9523796400357263</v>
      </c>
      <c r="I408">
        <f>SUM(Sayfa1!G385:G408)</f>
        <v>1.811981201171875E-2</v>
      </c>
    </row>
    <row r="409" spans="1:9" x14ac:dyDescent="0.3">
      <c r="A409">
        <v>-118.5</v>
      </c>
      <c r="B409">
        <v>34</v>
      </c>
      <c r="C409">
        <v>2025</v>
      </c>
      <c r="D409">
        <v>1</v>
      </c>
      <c r="E409">
        <v>17</v>
      </c>
      <c r="F409">
        <f>Sayfa1!C409-273.15</f>
        <v>12.967431640625023</v>
      </c>
      <c r="G409">
        <v>61.521377563476563</v>
      </c>
      <c r="H409">
        <f>SQRT(Sayfa1!D409^2+Sayfa1!E409^2)</f>
        <v>2.109504137015759</v>
      </c>
      <c r="I409">
        <f>SUM(Sayfa1!G386:G409)</f>
        <v>1.811981201171875E-2</v>
      </c>
    </row>
    <row r="410" spans="1:9" x14ac:dyDescent="0.3">
      <c r="A410">
        <v>-118.5</v>
      </c>
      <c r="B410">
        <v>34</v>
      </c>
      <c r="C410">
        <v>2025</v>
      </c>
      <c r="D410">
        <v>1</v>
      </c>
      <c r="E410">
        <v>18</v>
      </c>
      <c r="F410">
        <f>Sayfa1!C410-273.15</f>
        <v>12.789331054687523</v>
      </c>
      <c r="G410">
        <v>65.01885986328125</v>
      </c>
      <c r="H410">
        <f>SQRT(Sayfa1!D410^2+Sayfa1!E410^2)</f>
        <v>2.3393605403769531</v>
      </c>
      <c r="I410">
        <f>SUM(Sayfa1!G387:G410)</f>
        <v>1.811981201171875E-2</v>
      </c>
    </row>
    <row r="411" spans="1:9" x14ac:dyDescent="0.3">
      <c r="A411">
        <v>-118.5</v>
      </c>
      <c r="B411">
        <v>34</v>
      </c>
      <c r="C411">
        <v>2025</v>
      </c>
      <c r="D411">
        <v>1</v>
      </c>
      <c r="E411">
        <v>18</v>
      </c>
      <c r="F411">
        <f>Sayfa1!C411-273.15</f>
        <v>12.157373046875023</v>
      </c>
      <c r="G411">
        <v>71.1973876953125</v>
      </c>
      <c r="H411">
        <f>SQRT(Sayfa1!D411^2+Sayfa1!E411^2)</f>
        <v>2.3874737253029799</v>
      </c>
      <c r="I411">
        <f>SUM(Sayfa1!G388:G411)</f>
        <v>1.811981201171875E-2</v>
      </c>
    </row>
    <row r="412" spans="1:9" x14ac:dyDescent="0.3">
      <c r="A412">
        <v>-118.5</v>
      </c>
      <c r="B412">
        <v>34</v>
      </c>
      <c r="C412">
        <v>2025</v>
      </c>
      <c r="D412">
        <v>1</v>
      </c>
      <c r="E412">
        <v>18</v>
      </c>
      <c r="F412">
        <f>Sayfa1!C412-273.15</f>
        <v>11.464379882812523</v>
      </c>
      <c r="G412">
        <v>77.830902099609375</v>
      </c>
      <c r="H412">
        <f>SQRT(Sayfa1!D412^2+Sayfa1!E412^2)</f>
        <v>2.2025998824279656</v>
      </c>
      <c r="I412">
        <f>SUM(Sayfa1!G389:G412)</f>
        <v>1.811981201171875E-2</v>
      </c>
    </row>
    <row r="413" spans="1:9" x14ac:dyDescent="0.3">
      <c r="A413">
        <v>-118.5</v>
      </c>
      <c r="B413">
        <v>34</v>
      </c>
      <c r="C413">
        <v>2025</v>
      </c>
      <c r="D413">
        <v>1</v>
      </c>
      <c r="E413">
        <v>18</v>
      </c>
      <c r="F413">
        <f>Sayfa1!C413-273.15</f>
        <v>11.024255371093773</v>
      </c>
      <c r="G413">
        <v>82.313461303710938</v>
      </c>
      <c r="H413">
        <f>SQRT(Sayfa1!D413^2+Sayfa1!E413^2)</f>
        <v>1.3995804938112086</v>
      </c>
      <c r="I413">
        <f>SUM(Sayfa1!G390:G413)</f>
        <v>1.811981201171875E-2</v>
      </c>
    </row>
    <row r="414" spans="1:9" x14ac:dyDescent="0.3">
      <c r="A414">
        <v>-118.5</v>
      </c>
      <c r="B414">
        <v>34</v>
      </c>
      <c r="C414">
        <v>2025</v>
      </c>
      <c r="D414">
        <v>1</v>
      </c>
      <c r="E414">
        <v>18</v>
      </c>
      <c r="F414">
        <f>Sayfa1!C414-273.15</f>
        <v>10.741540527343773</v>
      </c>
      <c r="G414">
        <v>85.489654541015625</v>
      </c>
      <c r="H414">
        <f>SQRT(Sayfa1!D414^2+Sayfa1!E414^2)</f>
        <v>0.55123959422866298</v>
      </c>
      <c r="I414">
        <f>SUM(Sayfa1!G391:G414)</f>
        <v>1.811981201171875E-2</v>
      </c>
    </row>
    <row r="415" spans="1:9" x14ac:dyDescent="0.3">
      <c r="A415">
        <v>-118.5</v>
      </c>
      <c r="B415">
        <v>34</v>
      </c>
      <c r="C415">
        <v>2025</v>
      </c>
      <c r="D415">
        <v>1</v>
      </c>
      <c r="E415">
        <v>18</v>
      </c>
      <c r="F415">
        <f>Sayfa1!C415-273.15</f>
        <v>10.535546875000023</v>
      </c>
      <c r="G415">
        <v>87.575881958007813</v>
      </c>
      <c r="H415">
        <f>SQRT(Sayfa1!D415^2+Sayfa1!E415^2)</f>
        <v>0.51992665768873336</v>
      </c>
      <c r="I415">
        <f>SUM(Sayfa1!G392:G415)</f>
        <v>1.811981201171875E-2</v>
      </c>
    </row>
    <row r="416" spans="1:9" x14ac:dyDescent="0.3">
      <c r="A416">
        <v>-118.5</v>
      </c>
      <c r="B416">
        <v>34</v>
      </c>
      <c r="C416">
        <v>2025</v>
      </c>
      <c r="D416">
        <v>1</v>
      </c>
      <c r="E416">
        <v>18</v>
      </c>
      <c r="F416">
        <f>Sayfa1!C416-273.15</f>
        <v>10.377893066406273</v>
      </c>
      <c r="G416">
        <v>88.890899658203125</v>
      </c>
      <c r="H416">
        <f>SQRT(Sayfa1!D416^2+Sayfa1!E416^2)</f>
        <v>1.0557835024587994</v>
      </c>
      <c r="I416">
        <f>SUM(Sayfa1!G393:G416)</f>
        <v>1.811981201171875E-2</v>
      </c>
    </row>
    <row r="417" spans="1:9" x14ac:dyDescent="0.3">
      <c r="A417">
        <v>-118.5</v>
      </c>
      <c r="B417">
        <v>34</v>
      </c>
      <c r="C417">
        <v>2025</v>
      </c>
      <c r="D417">
        <v>1</v>
      </c>
      <c r="E417">
        <v>18</v>
      </c>
      <c r="F417">
        <f>Sayfa1!C417-273.15</f>
        <v>10.228845214843773</v>
      </c>
      <c r="G417">
        <v>89.793853759765625</v>
      </c>
      <c r="H417">
        <f>SQRT(Sayfa1!D417^2+Sayfa1!E417^2)</f>
        <v>1.3465191053468717</v>
      </c>
      <c r="I417">
        <f>SUM(Sayfa1!G394:G417)</f>
        <v>1.811981201171875E-2</v>
      </c>
    </row>
    <row r="418" spans="1:9" x14ac:dyDescent="0.3">
      <c r="A418">
        <v>-118.5</v>
      </c>
      <c r="B418">
        <v>34</v>
      </c>
      <c r="C418">
        <v>2025</v>
      </c>
      <c r="D418">
        <v>1</v>
      </c>
      <c r="E418">
        <v>18</v>
      </c>
      <c r="F418">
        <f>Sayfa1!C418-273.15</f>
        <v>10.072656250000023</v>
      </c>
      <c r="G418">
        <v>90.920059204101563</v>
      </c>
      <c r="H418">
        <f>SQRT(Sayfa1!D418^2+Sayfa1!E418^2)</f>
        <v>1.515713072213712</v>
      </c>
      <c r="I418">
        <f>SUM(Sayfa1!G395:G418)</f>
        <v>1.811981201171875E-2</v>
      </c>
    </row>
    <row r="419" spans="1:9" x14ac:dyDescent="0.3">
      <c r="A419">
        <v>-118.5</v>
      </c>
      <c r="B419">
        <v>34</v>
      </c>
      <c r="C419">
        <v>2025</v>
      </c>
      <c r="D419">
        <v>1</v>
      </c>
      <c r="E419">
        <v>18</v>
      </c>
      <c r="F419">
        <f>Sayfa1!C419-273.15</f>
        <v>9.9698120117187727</v>
      </c>
      <c r="G419">
        <v>91.737838745117188</v>
      </c>
      <c r="H419">
        <f>SQRT(Sayfa1!D419^2+Sayfa1!E419^2)</f>
        <v>1.7793875953402429</v>
      </c>
      <c r="I419">
        <f>SUM(Sayfa1!G396:G419)</f>
        <v>1.9073486328125E-2</v>
      </c>
    </row>
    <row r="420" spans="1:9" x14ac:dyDescent="0.3">
      <c r="A420">
        <v>-118.5</v>
      </c>
      <c r="B420">
        <v>34</v>
      </c>
      <c r="C420">
        <v>2025</v>
      </c>
      <c r="D420">
        <v>1</v>
      </c>
      <c r="E420">
        <v>18</v>
      </c>
      <c r="F420">
        <f>Sayfa1!C420-273.15</f>
        <v>9.7967773437500227</v>
      </c>
      <c r="G420">
        <v>92.300857543945313</v>
      </c>
      <c r="H420">
        <f>SQRT(Sayfa1!D420^2+Sayfa1!E420^2)</f>
        <v>2.9312854082828075</v>
      </c>
      <c r="I420">
        <f>SUM(Sayfa1!G397:G420)</f>
        <v>2.0503997802734375E-2</v>
      </c>
    </row>
    <row r="421" spans="1:9" x14ac:dyDescent="0.3">
      <c r="A421">
        <v>-118.5</v>
      </c>
      <c r="B421">
        <v>34</v>
      </c>
      <c r="C421">
        <v>2025</v>
      </c>
      <c r="D421">
        <v>1</v>
      </c>
      <c r="E421">
        <v>18</v>
      </c>
      <c r="F421">
        <f>Sayfa1!C421-273.15</f>
        <v>9.9042602539062727</v>
      </c>
      <c r="G421">
        <v>91.835403442382813</v>
      </c>
      <c r="H421">
        <f>SQRT(Sayfa1!D421^2+Sayfa1!E421^2)</f>
        <v>2.9202513148499394</v>
      </c>
      <c r="I421">
        <f>SUM(Sayfa1!G398:G421)</f>
        <v>2.2411346435546875E-2</v>
      </c>
    </row>
    <row r="422" spans="1:9" x14ac:dyDescent="0.3">
      <c r="A422">
        <v>-118.5</v>
      </c>
      <c r="B422">
        <v>34</v>
      </c>
      <c r="C422">
        <v>2025</v>
      </c>
      <c r="D422">
        <v>1</v>
      </c>
      <c r="E422">
        <v>18</v>
      </c>
      <c r="F422">
        <f>Sayfa1!C422-273.15</f>
        <v>9.9444824218750227</v>
      </c>
      <c r="G422">
        <v>90.984176635742188</v>
      </c>
      <c r="H422">
        <f>SQRT(Sayfa1!D422^2+Sayfa1!E422^2)</f>
        <v>2.9572317206714613</v>
      </c>
      <c r="I422">
        <f>SUM(Sayfa1!G399:G422)</f>
        <v>2.47955322265625E-2</v>
      </c>
    </row>
    <row r="423" spans="1:9" x14ac:dyDescent="0.3">
      <c r="A423">
        <v>-118.5</v>
      </c>
      <c r="B423">
        <v>34</v>
      </c>
      <c r="C423">
        <v>2025</v>
      </c>
      <c r="D423">
        <v>1</v>
      </c>
      <c r="E423">
        <v>18</v>
      </c>
      <c r="F423">
        <f>Sayfa1!C423-273.15</f>
        <v>9.9061523437500227</v>
      </c>
      <c r="G423">
        <v>90.171737670898438</v>
      </c>
      <c r="H423">
        <f>SQRT(Sayfa1!D423^2+Sayfa1!E423^2)</f>
        <v>2.8136217928235294</v>
      </c>
      <c r="I423">
        <f>SUM(Sayfa1!G400:G423)</f>
        <v>2.8133392333984375E-2</v>
      </c>
    </row>
    <row r="424" spans="1:9" x14ac:dyDescent="0.3">
      <c r="A424">
        <v>-118.5</v>
      </c>
      <c r="B424">
        <v>34</v>
      </c>
      <c r="C424">
        <v>2025</v>
      </c>
      <c r="D424">
        <v>1</v>
      </c>
      <c r="E424">
        <v>18</v>
      </c>
      <c r="F424">
        <f>Sayfa1!C424-273.15</f>
        <v>9.8532958984375227</v>
      </c>
      <c r="G424">
        <v>88.652969360351563</v>
      </c>
      <c r="H424">
        <f>SQRT(Sayfa1!D424^2+Sayfa1!E424^2)</f>
        <v>2.4646362335975489</v>
      </c>
      <c r="I424">
        <f>SUM(Sayfa1!G401:G424)</f>
        <v>3.2901763916015625E-2</v>
      </c>
    </row>
    <row r="425" spans="1:9" x14ac:dyDescent="0.3">
      <c r="A425">
        <v>-118.5</v>
      </c>
      <c r="B425">
        <v>34</v>
      </c>
      <c r="C425">
        <v>2025</v>
      </c>
      <c r="D425">
        <v>1</v>
      </c>
      <c r="E425">
        <v>18</v>
      </c>
      <c r="F425">
        <f>Sayfa1!C425-273.15</f>
        <v>9.7820678710937727</v>
      </c>
      <c r="G425">
        <v>87.848464965820313</v>
      </c>
      <c r="H425">
        <f>SQRT(Sayfa1!D425^2+Sayfa1!E425^2)</f>
        <v>1.9594426860390002</v>
      </c>
      <c r="I425">
        <f>SUM(Sayfa1!G402:G425)</f>
        <v>3.3855438232421875E-2</v>
      </c>
    </row>
    <row r="426" spans="1:9" x14ac:dyDescent="0.3">
      <c r="A426">
        <v>-118.5</v>
      </c>
      <c r="B426">
        <v>34</v>
      </c>
      <c r="C426">
        <v>2025</v>
      </c>
      <c r="D426">
        <v>1</v>
      </c>
      <c r="E426">
        <v>18</v>
      </c>
      <c r="F426">
        <f>Sayfa1!C426-273.15</f>
        <v>9.7121826171875227</v>
      </c>
      <c r="G426">
        <v>85.20166015625</v>
      </c>
      <c r="H426">
        <f>SQRT(Sayfa1!D426^2+Sayfa1!E426^2)</f>
        <v>1.3549418907000521</v>
      </c>
      <c r="I426">
        <f>SUM(Sayfa1!G403:G426)</f>
        <v>3.337860107421875E-2</v>
      </c>
    </row>
    <row r="427" spans="1:9" x14ac:dyDescent="0.3">
      <c r="A427">
        <v>-118.5</v>
      </c>
      <c r="B427">
        <v>34</v>
      </c>
      <c r="C427">
        <v>2025</v>
      </c>
      <c r="D427">
        <v>1</v>
      </c>
      <c r="E427">
        <v>18</v>
      </c>
      <c r="F427">
        <f>Sayfa1!C427-273.15</f>
        <v>9.6671386718750227</v>
      </c>
      <c r="G427">
        <v>81.94573974609375</v>
      </c>
      <c r="H427">
        <f>SQRT(Sayfa1!D427^2+Sayfa1!E427^2)</f>
        <v>1.0789673045299004</v>
      </c>
      <c r="I427">
        <f>SUM(Sayfa1!G404:G427)</f>
        <v>3.147125244140625E-2</v>
      </c>
    </row>
    <row r="428" spans="1:9" x14ac:dyDescent="0.3">
      <c r="A428">
        <v>-118.5</v>
      </c>
      <c r="B428">
        <v>34</v>
      </c>
      <c r="C428">
        <v>2025</v>
      </c>
      <c r="D428">
        <v>1</v>
      </c>
      <c r="E428">
        <v>18</v>
      </c>
      <c r="F428">
        <f>Sayfa1!C428-273.15</f>
        <v>10.398339843750023</v>
      </c>
      <c r="G428">
        <v>79.799530029296875</v>
      </c>
      <c r="H428">
        <f>SQRT(Sayfa1!D428^2+Sayfa1!E428^2)</f>
        <v>0.97703620305449979</v>
      </c>
      <c r="I428">
        <f>SUM(Sayfa1!G405:G428)</f>
        <v>2.6226043701171875E-2</v>
      </c>
    </row>
    <row r="429" spans="1:9" x14ac:dyDescent="0.3">
      <c r="A429">
        <v>-118.5</v>
      </c>
      <c r="B429">
        <v>34</v>
      </c>
      <c r="C429">
        <v>2025</v>
      </c>
      <c r="D429">
        <v>1</v>
      </c>
      <c r="E429">
        <v>18</v>
      </c>
      <c r="F429">
        <f>Sayfa1!C429-273.15</f>
        <v>11.594628906250023</v>
      </c>
      <c r="G429">
        <v>71.71221923828125</v>
      </c>
      <c r="H429">
        <f>SQRT(Sayfa1!D429^2+Sayfa1!E429^2)</f>
        <v>0.74258256376751874</v>
      </c>
      <c r="I429">
        <f>SUM(Sayfa1!G406:G429)</f>
        <v>2.384185791015625E-2</v>
      </c>
    </row>
    <row r="430" spans="1:9" x14ac:dyDescent="0.3">
      <c r="A430">
        <v>-118.5</v>
      </c>
      <c r="B430">
        <v>34</v>
      </c>
      <c r="C430">
        <v>2025</v>
      </c>
      <c r="D430">
        <v>1</v>
      </c>
      <c r="E430">
        <v>18</v>
      </c>
      <c r="F430">
        <f>Sayfa1!C430-273.15</f>
        <v>12.856347656250023</v>
      </c>
      <c r="G430">
        <v>64.449447631835938</v>
      </c>
      <c r="H430">
        <f>SQRT(Sayfa1!D430^2+Sayfa1!E430^2)</f>
        <v>1.069926500327846</v>
      </c>
      <c r="I430">
        <f>SUM(Sayfa1!G407:G430)</f>
        <v>2.288818359375E-2</v>
      </c>
    </row>
    <row r="431" spans="1:9" x14ac:dyDescent="0.3">
      <c r="A431">
        <v>-118.5</v>
      </c>
      <c r="B431">
        <v>34</v>
      </c>
      <c r="C431">
        <v>2025</v>
      </c>
      <c r="D431">
        <v>1</v>
      </c>
      <c r="E431">
        <v>18</v>
      </c>
      <c r="F431">
        <f>Sayfa1!C431-273.15</f>
        <v>13.888940429687523</v>
      </c>
      <c r="G431">
        <v>59.619110107421875</v>
      </c>
      <c r="H431">
        <f>SQRT(Sayfa1!D431^2+Sayfa1!E431^2)</f>
        <v>1.8284626852268364</v>
      </c>
      <c r="I431">
        <f>SUM(Sayfa1!G408:G431)</f>
        <v>2.2411346435546875E-2</v>
      </c>
    </row>
    <row r="432" spans="1:9" x14ac:dyDescent="0.3">
      <c r="A432">
        <v>-118.5</v>
      </c>
      <c r="B432">
        <v>34</v>
      </c>
      <c r="C432">
        <v>2025</v>
      </c>
      <c r="D432">
        <v>1</v>
      </c>
      <c r="E432">
        <v>18</v>
      </c>
      <c r="F432">
        <f>Sayfa1!C432-273.15</f>
        <v>13.529443359375023</v>
      </c>
      <c r="G432">
        <v>62.856845855712891</v>
      </c>
      <c r="H432">
        <f>SQRT(Sayfa1!D432^2+Sayfa1!E432^2)</f>
        <v>2.1120220269445378</v>
      </c>
      <c r="I432">
        <f>SUM(Sayfa1!G409:G432)</f>
        <v>2.193450927734375E-2</v>
      </c>
    </row>
    <row r="433" spans="1:9" x14ac:dyDescent="0.3">
      <c r="A433">
        <v>-118.5</v>
      </c>
      <c r="B433">
        <v>34</v>
      </c>
      <c r="C433">
        <v>2025</v>
      </c>
      <c r="D433">
        <v>1</v>
      </c>
      <c r="E433">
        <v>18</v>
      </c>
      <c r="F433">
        <f>Sayfa1!C433-273.15</f>
        <v>13.803613281250023</v>
      </c>
      <c r="G433">
        <v>63.241302490234375</v>
      </c>
      <c r="H433">
        <f>SQRT(Sayfa1!D433^2+Sayfa1!E433^2)</f>
        <v>2.6168328526216436</v>
      </c>
      <c r="I433">
        <f>SUM(Sayfa1!G410:G433)</f>
        <v>2.193450927734375E-2</v>
      </c>
    </row>
    <row r="434" spans="1:9" x14ac:dyDescent="0.3">
      <c r="A434">
        <v>-118.5</v>
      </c>
      <c r="B434">
        <v>34</v>
      </c>
      <c r="C434">
        <v>2025</v>
      </c>
      <c r="D434">
        <v>1</v>
      </c>
      <c r="E434">
        <v>19</v>
      </c>
      <c r="F434">
        <f>Sayfa1!C434-273.15</f>
        <v>13.322900390625023</v>
      </c>
      <c r="G434">
        <v>68.307907104492188</v>
      </c>
      <c r="H434">
        <f>SQRT(Sayfa1!D434^2+Sayfa1!E434^2)</f>
        <v>3.3836715007633456</v>
      </c>
      <c r="I434">
        <f>SUM(Sayfa1!G411:G434)</f>
        <v>2.193450927734375E-2</v>
      </c>
    </row>
    <row r="435" spans="1:9" x14ac:dyDescent="0.3">
      <c r="A435">
        <v>-118.5</v>
      </c>
      <c r="B435">
        <v>34</v>
      </c>
      <c r="C435">
        <v>2025</v>
      </c>
      <c r="D435">
        <v>1</v>
      </c>
      <c r="E435">
        <v>19</v>
      </c>
      <c r="F435">
        <f>Sayfa1!C435-273.15</f>
        <v>12.203759765625023</v>
      </c>
      <c r="G435">
        <v>76.671127319335938</v>
      </c>
      <c r="H435">
        <f>SQRT(Sayfa1!D435^2+Sayfa1!E435^2)</f>
        <v>3.5160018565596811</v>
      </c>
      <c r="I435">
        <f>SUM(Sayfa1!G412:G435)</f>
        <v>2.193450927734375E-2</v>
      </c>
    </row>
    <row r="436" spans="1:9" x14ac:dyDescent="0.3">
      <c r="A436">
        <v>-118.5</v>
      </c>
      <c r="B436">
        <v>34</v>
      </c>
      <c r="C436">
        <v>2025</v>
      </c>
      <c r="D436">
        <v>1</v>
      </c>
      <c r="E436">
        <v>19</v>
      </c>
      <c r="F436">
        <f>Sayfa1!C436-273.15</f>
        <v>11.172143554687523</v>
      </c>
      <c r="G436">
        <v>83.8809814453125</v>
      </c>
      <c r="H436">
        <f>SQRT(Sayfa1!D436^2+Sayfa1!E436^2)</f>
        <v>3.285719567264223</v>
      </c>
      <c r="I436">
        <f>SUM(Sayfa1!G413:G436)</f>
        <v>2.193450927734375E-2</v>
      </c>
    </row>
    <row r="437" spans="1:9" x14ac:dyDescent="0.3">
      <c r="A437">
        <v>-118.5</v>
      </c>
      <c r="B437">
        <v>34</v>
      </c>
      <c r="C437">
        <v>2025</v>
      </c>
      <c r="D437">
        <v>1</v>
      </c>
      <c r="E437">
        <v>19</v>
      </c>
      <c r="F437">
        <f>Sayfa1!C437-273.15</f>
        <v>10.870874023437523</v>
      </c>
      <c r="G437">
        <v>88.178115844726563</v>
      </c>
      <c r="H437">
        <f>SQRT(Sayfa1!D437^2+Sayfa1!E437^2)</f>
        <v>2.4229647396834828</v>
      </c>
      <c r="I437">
        <f>SUM(Sayfa1!G414:G437)</f>
        <v>2.193450927734375E-2</v>
      </c>
    </row>
    <row r="438" spans="1:9" x14ac:dyDescent="0.3">
      <c r="A438">
        <v>-118.5</v>
      </c>
      <c r="B438">
        <v>34</v>
      </c>
      <c r="C438">
        <v>2025</v>
      </c>
      <c r="D438">
        <v>1</v>
      </c>
      <c r="E438">
        <v>19</v>
      </c>
      <c r="F438">
        <f>Sayfa1!C438-273.15</f>
        <v>11.178613281250023</v>
      </c>
      <c r="G438">
        <v>89.63671875</v>
      </c>
      <c r="H438">
        <f>SQRT(Sayfa1!D438^2+Sayfa1!E438^2)</f>
        <v>1.4851671666524708</v>
      </c>
      <c r="I438">
        <f>SUM(Sayfa1!G415:G438)</f>
        <v>2.193450927734375E-2</v>
      </c>
    </row>
    <row r="439" spans="1:9" x14ac:dyDescent="0.3">
      <c r="A439">
        <v>-118.5</v>
      </c>
      <c r="B439">
        <v>34</v>
      </c>
      <c r="C439">
        <v>2025</v>
      </c>
      <c r="D439">
        <v>1</v>
      </c>
      <c r="E439">
        <v>19</v>
      </c>
      <c r="F439">
        <f>Sayfa1!C439-273.15</f>
        <v>11.395654296875023</v>
      </c>
      <c r="G439">
        <v>89.905105590820313</v>
      </c>
      <c r="H439">
        <f>SQRT(Sayfa1!D439^2+Sayfa1!E439^2)</f>
        <v>0.86258590374539956</v>
      </c>
      <c r="I439">
        <f>SUM(Sayfa1!G416:G439)</f>
        <v>2.193450927734375E-2</v>
      </c>
    </row>
    <row r="440" spans="1:9" x14ac:dyDescent="0.3">
      <c r="A440">
        <v>-118.5</v>
      </c>
      <c r="B440">
        <v>34</v>
      </c>
      <c r="C440">
        <v>2025</v>
      </c>
      <c r="D440">
        <v>1</v>
      </c>
      <c r="E440">
        <v>19</v>
      </c>
      <c r="F440">
        <f>Sayfa1!C440-273.15</f>
        <v>11.199853515625023</v>
      </c>
      <c r="G440">
        <v>90.404647827148438</v>
      </c>
      <c r="H440">
        <f>SQRT(Sayfa1!D440^2+Sayfa1!E440^2)</f>
        <v>0.79665298808206886</v>
      </c>
      <c r="I440">
        <f>SUM(Sayfa1!G417:G440)</f>
        <v>2.193450927734375E-2</v>
      </c>
    </row>
    <row r="441" spans="1:9" x14ac:dyDescent="0.3">
      <c r="A441">
        <v>-118.5</v>
      </c>
      <c r="B441">
        <v>34</v>
      </c>
      <c r="C441">
        <v>2025</v>
      </c>
      <c r="D441">
        <v>1</v>
      </c>
      <c r="E441">
        <v>19</v>
      </c>
      <c r="F441">
        <f>Sayfa1!C441-273.15</f>
        <v>10.849023437500023</v>
      </c>
      <c r="G441">
        <v>90.706390380859375</v>
      </c>
      <c r="H441">
        <f>SQRT(Sayfa1!D441^2+Sayfa1!E441^2)</f>
        <v>0.95769570503548895</v>
      </c>
      <c r="I441">
        <f>SUM(Sayfa1!G418:G441)</f>
        <v>2.193450927734375E-2</v>
      </c>
    </row>
    <row r="442" spans="1:9" x14ac:dyDescent="0.3">
      <c r="A442">
        <v>-118.5</v>
      </c>
      <c r="B442">
        <v>34</v>
      </c>
      <c r="C442">
        <v>2025</v>
      </c>
      <c r="D442">
        <v>1</v>
      </c>
      <c r="E442">
        <v>19</v>
      </c>
      <c r="F442">
        <f>Sayfa1!C442-273.15</f>
        <v>10.657983398437523</v>
      </c>
      <c r="G442">
        <v>90.13128662109375</v>
      </c>
      <c r="H442">
        <f>SQRT(Sayfa1!D442^2+Sayfa1!E442^2)</f>
        <v>1.2609838880827378</v>
      </c>
      <c r="I442">
        <f>SUM(Sayfa1!G419:G442)</f>
        <v>2.193450927734375E-2</v>
      </c>
    </row>
    <row r="443" spans="1:9" x14ac:dyDescent="0.3">
      <c r="A443">
        <v>-118.5</v>
      </c>
      <c r="B443">
        <v>34</v>
      </c>
      <c r="C443">
        <v>2025</v>
      </c>
      <c r="D443">
        <v>1</v>
      </c>
      <c r="E443">
        <v>19</v>
      </c>
      <c r="F443">
        <f>Sayfa1!C443-273.15</f>
        <v>10.538964843750023</v>
      </c>
      <c r="G443">
        <v>89.42266845703125</v>
      </c>
      <c r="H443">
        <f>SQRT(Sayfa1!D443^2+Sayfa1!E443^2)</f>
        <v>1.4737137829286751</v>
      </c>
      <c r="I443">
        <f>SUM(Sayfa1!G420:G443)</f>
        <v>2.09808349609375E-2</v>
      </c>
    </row>
    <row r="444" spans="1:9" x14ac:dyDescent="0.3">
      <c r="A444">
        <v>-118.5</v>
      </c>
      <c r="B444">
        <v>34</v>
      </c>
      <c r="C444">
        <v>2025</v>
      </c>
      <c r="D444">
        <v>1</v>
      </c>
      <c r="E444">
        <v>19</v>
      </c>
      <c r="F444">
        <f>Sayfa1!C444-273.15</f>
        <v>10.132836914062523</v>
      </c>
      <c r="G444">
        <v>93.476791381835938</v>
      </c>
      <c r="H444">
        <f>SQRT(Sayfa1!D444^2+Sayfa1!E444^2)</f>
        <v>0.88245352648290709</v>
      </c>
      <c r="I444">
        <f>SUM(Sayfa1!G421:G444)</f>
        <v>1.9550323486328125E-2</v>
      </c>
    </row>
    <row r="445" spans="1:9" x14ac:dyDescent="0.3">
      <c r="A445">
        <v>-118.5</v>
      </c>
      <c r="B445">
        <v>34</v>
      </c>
      <c r="C445">
        <v>2025</v>
      </c>
      <c r="D445">
        <v>1</v>
      </c>
      <c r="E445">
        <v>19</v>
      </c>
      <c r="F445">
        <f>Sayfa1!C445-273.15</f>
        <v>9.9929443359375227</v>
      </c>
      <c r="G445">
        <v>91.61639404296875</v>
      </c>
      <c r="H445">
        <f>SQRT(Sayfa1!D445^2+Sayfa1!E445^2)</f>
        <v>0.6427127349659062</v>
      </c>
      <c r="I445">
        <f>SUM(Sayfa1!G422:G445)</f>
        <v>1.8596649169921875E-2</v>
      </c>
    </row>
    <row r="446" spans="1:9" x14ac:dyDescent="0.3">
      <c r="A446">
        <v>-118.5</v>
      </c>
      <c r="B446">
        <v>34</v>
      </c>
      <c r="C446">
        <v>2025</v>
      </c>
      <c r="D446">
        <v>1</v>
      </c>
      <c r="E446">
        <v>19</v>
      </c>
      <c r="F446">
        <f>Sayfa1!C446-273.15</f>
        <v>9.8917480468750227</v>
      </c>
      <c r="G446">
        <v>88.936065673828125</v>
      </c>
      <c r="H446">
        <f>SQRT(Sayfa1!D446^2+Sayfa1!E446^2)</f>
        <v>0.40905033379436678</v>
      </c>
      <c r="I446">
        <f>SUM(Sayfa1!G423:G446)</f>
        <v>1.6689300537109375E-2</v>
      </c>
    </row>
    <row r="447" spans="1:9" x14ac:dyDescent="0.3">
      <c r="A447">
        <v>-118.5</v>
      </c>
      <c r="B447">
        <v>34</v>
      </c>
      <c r="C447">
        <v>2025</v>
      </c>
      <c r="D447">
        <v>1</v>
      </c>
      <c r="E447">
        <v>19</v>
      </c>
      <c r="F447">
        <f>Sayfa1!C447-273.15</f>
        <v>9.8770996093750227</v>
      </c>
      <c r="G447">
        <v>86.234222412109375</v>
      </c>
      <c r="H447">
        <f>SQRT(Sayfa1!D447^2+Sayfa1!E447^2)</f>
        <v>0.33691586272822971</v>
      </c>
      <c r="I447">
        <f>SUM(Sayfa1!G424:G447)</f>
        <v>1.33514404296875E-2</v>
      </c>
    </row>
    <row r="448" spans="1:9" x14ac:dyDescent="0.3">
      <c r="A448">
        <v>-118.5</v>
      </c>
      <c r="B448">
        <v>34</v>
      </c>
      <c r="C448">
        <v>2025</v>
      </c>
      <c r="D448">
        <v>1</v>
      </c>
      <c r="E448">
        <v>19</v>
      </c>
      <c r="F448">
        <f>Sayfa1!C448-273.15</f>
        <v>9.7904296875000227</v>
      </c>
      <c r="G448">
        <v>83.712997436523438</v>
      </c>
      <c r="H448">
        <f>SQRT(Sayfa1!D448^2+Sayfa1!E448^2)</f>
        <v>7.3118552125920958E-2</v>
      </c>
      <c r="I448">
        <f>SUM(Sayfa1!G425:G448)</f>
        <v>8.58306884765625E-3</v>
      </c>
    </row>
    <row r="449" spans="1:9" x14ac:dyDescent="0.3">
      <c r="A449">
        <v>-118.5</v>
      </c>
      <c r="B449">
        <v>34</v>
      </c>
      <c r="C449">
        <v>2025</v>
      </c>
      <c r="D449">
        <v>1</v>
      </c>
      <c r="E449">
        <v>19</v>
      </c>
      <c r="F449">
        <f>Sayfa1!C449-273.15</f>
        <v>9.5523925781250227</v>
      </c>
      <c r="G449">
        <v>82.77264404296875</v>
      </c>
      <c r="H449">
        <f>SQRT(Sayfa1!D449^2+Sayfa1!E449^2)</f>
        <v>0.67770445315134331</v>
      </c>
      <c r="I449">
        <f>SUM(Sayfa1!G426:G449)</f>
        <v>4.76837158203125E-3</v>
      </c>
    </row>
    <row r="450" spans="1:9" x14ac:dyDescent="0.3">
      <c r="A450">
        <v>-118.5</v>
      </c>
      <c r="B450">
        <v>34</v>
      </c>
      <c r="C450">
        <v>2025</v>
      </c>
      <c r="D450">
        <v>1</v>
      </c>
      <c r="E450">
        <v>19</v>
      </c>
      <c r="F450">
        <f>Sayfa1!C450-273.15</f>
        <v>9.4319091796875227</v>
      </c>
      <c r="G450">
        <v>85.830841064453125</v>
      </c>
      <c r="H450">
        <f>SQRT(Sayfa1!D450^2+Sayfa1!E450^2)</f>
        <v>1.2890061678643243</v>
      </c>
      <c r="I450">
        <f>SUM(Sayfa1!G427:G450)</f>
        <v>3.337860107421875E-3</v>
      </c>
    </row>
    <row r="451" spans="1:9" x14ac:dyDescent="0.3">
      <c r="A451">
        <v>-118.5</v>
      </c>
      <c r="B451">
        <v>34</v>
      </c>
      <c r="C451">
        <v>2025</v>
      </c>
      <c r="D451">
        <v>1</v>
      </c>
      <c r="E451">
        <v>19</v>
      </c>
      <c r="F451">
        <f>Sayfa1!C451-273.15</f>
        <v>9.5254150390625227</v>
      </c>
      <c r="G451">
        <v>88.13916015625</v>
      </c>
      <c r="H451">
        <f>SQRT(Sayfa1!D451^2+Sayfa1!E451^2)</f>
        <v>1.4598569486097794</v>
      </c>
      <c r="I451">
        <f>SUM(Sayfa1!G428:G451)</f>
        <v>2.384185791015625E-3</v>
      </c>
    </row>
    <row r="452" spans="1:9" x14ac:dyDescent="0.3">
      <c r="A452">
        <v>-118.5</v>
      </c>
      <c r="B452">
        <v>34</v>
      </c>
      <c r="C452">
        <v>2025</v>
      </c>
      <c r="D452">
        <v>1</v>
      </c>
      <c r="E452">
        <v>19</v>
      </c>
      <c r="F452">
        <f>Sayfa1!C452-273.15</f>
        <v>10.181176757812523</v>
      </c>
      <c r="G452">
        <v>83.169082641601563</v>
      </c>
      <c r="H452">
        <f>SQRT(Sayfa1!D452^2+Sayfa1!E452^2)</f>
        <v>1.1915396319636866</v>
      </c>
      <c r="I452">
        <f>SUM(Sayfa1!G429:G452)</f>
        <v>1.9073486328125E-3</v>
      </c>
    </row>
    <row r="453" spans="1:9" x14ac:dyDescent="0.3">
      <c r="A453">
        <v>-118.5</v>
      </c>
      <c r="B453">
        <v>34</v>
      </c>
      <c r="C453">
        <v>2025</v>
      </c>
      <c r="D453">
        <v>1</v>
      </c>
      <c r="E453">
        <v>19</v>
      </c>
      <c r="F453">
        <f>Sayfa1!C453-273.15</f>
        <v>11.262597656250023</v>
      </c>
      <c r="G453">
        <v>73.370697021484375</v>
      </c>
      <c r="H453">
        <f>SQRT(Sayfa1!D453^2+Sayfa1!E453^2)</f>
        <v>1.4951886571724127</v>
      </c>
      <c r="I453">
        <f>SUM(Sayfa1!G430:G453)</f>
        <v>2.384185791015625E-3</v>
      </c>
    </row>
    <row r="454" spans="1:9" x14ac:dyDescent="0.3">
      <c r="A454">
        <v>-118.5</v>
      </c>
      <c r="B454">
        <v>34</v>
      </c>
      <c r="C454">
        <v>2025</v>
      </c>
      <c r="D454">
        <v>1</v>
      </c>
      <c r="E454">
        <v>19</v>
      </c>
      <c r="F454">
        <f>Sayfa1!C454-273.15</f>
        <v>12.231591796875023</v>
      </c>
      <c r="G454">
        <v>67.723297119140625</v>
      </c>
      <c r="H454">
        <f>SQRT(Sayfa1!D454^2+Sayfa1!E454^2)</f>
        <v>2.3967595935779444</v>
      </c>
      <c r="I454">
        <f>SUM(Sayfa1!G431:G454)</f>
        <v>2.86102294921875E-3</v>
      </c>
    </row>
    <row r="455" spans="1:9" x14ac:dyDescent="0.3">
      <c r="A455">
        <v>-118.5</v>
      </c>
      <c r="B455">
        <v>34</v>
      </c>
      <c r="C455">
        <v>2025</v>
      </c>
      <c r="D455">
        <v>1</v>
      </c>
      <c r="E455">
        <v>19</v>
      </c>
      <c r="F455">
        <f>Sayfa1!C455-273.15</f>
        <v>12.963525390625023</v>
      </c>
      <c r="G455">
        <v>64.449111938476563</v>
      </c>
      <c r="H455">
        <f>SQRT(Sayfa1!D455^2+Sayfa1!E455^2)</f>
        <v>3.539212565294398</v>
      </c>
      <c r="I455">
        <f>SUM(Sayfa1!G432:G455)</f>
        <v>2.86102294921875E-3</v>
      </c>
    </row>
    <row r="456" spans="1:9" x14ac:dyDescent="0.3">
      <c r="A456">
        <v>-118.5</v>
      </c>
      <c r="B456">
        <v>34</v>
      </c>
      <c r="C456">
        <v>2025</v>
      </c>
      <c r="D456">
        <v>1</v>
      </c>
      <c r="E456">
        <v>19</v>
      </c>
      <c r="F456">
        <f>Sayfa1!C456-273.15</f>
        <v>12.248681640625023</v>
      </c>
      <c r="G456">
        <v>73.289932250976563</v>
      </c>
      <c r="H456">
        <f>SQRT(Sayfa1!D456^2+Sayfa1!E456^2)</f>
        <v>2.5254872656978327</v>
      </c>
      <c r="I456">
        <f>SUM(Sayfa1!G433:G456)</f>
        <v>2.86102294921875E-3</v>
      </c>
    </row>
    <row r="457" spans="1:9" x14ac:dyDescent="0.3">
      <c r="A457">
        <v>-118.5</v>
      </c>
      <c r="B457">
        <v>34</v>
      </c>
      <c r="C457">
        <v>2025</v>
      </c>
      <c r="D457">
        <v>1</v>
      </c>
      <c r="E457">
        <v>19</v>
      </c>
      <c r="F457">
        <f>Sayfa1!C457-273.15</f>
        <v>12.368310546875023</v>
      </c>
      <c r="G457">
        <v>72.825897216796875</v>
      </c>
      <c r="H457">
        <f>SQRT(Sayfa1!D457^2+Sayfa1!E457^2)</f>
        <v>2.9535839925115668</v>
      </c>
      <c r="I457">
        <f>SUM(Sayfa1!G434:G457)</f>
        <v>2.86102294921875E-3</v>
      </c>
    </row>
    <row r="458" spans="1:9" x14ac:dyDescent="0.3">
      <c r="A458">
        <v>-118.5</v>
      </c>
      <c r="B458">
        <v>34</v>
      </c>
      <c r="C458">
        <v>2025</v>
      </c>
      <c r="D458">
        <v>1</v>
      </c>
      <c r="E458">
        <v>20</v>
      </c>
      <c r="F458">
        <f>Sayfa1!C458-273.15</f>
        <v>12.159570312500023</v>
      </c>
      <c r="G458">
        <v>74.510528564453125</v>
      </c>
      <c r="H458">
        <f>SQRT(Sayfa1!D458^2+Sayfa1!E458^2)</f>
        <v>3.3220798447776252</v>
      </c>
      <c r="I458">
        <f>SUM(Sayfa1!G435:G458)</f>
        <v>2.86102294921875E-3</v>
      </c>
    </row>
    <row r="459" spans="1:9" x14ac:dyDescent="0.3">
      <c r="A459">
        <v>-118.5</v>
      </c>
      <c r="B459">
        <v>34</v>
      </c>
      <c r="C459">
        <v>2025</v>
      </c>
      <c r="D459">
        <v>1</v>
      </c>
      <c r="E459">
        <v>20</v>
      </c>
      <c r="F459">
        <f>Sayfa1!C459-273.15</f>
        <v>11.387475585937523</v>
      </c>
      <c r="G459">
        <v>80.404937744140625</v>
      </c>
      <c r="H459">
        <f>SQRT(Sayfa1!D459^2+Sayfa1!E459^2)</f>
        <v>3.4770246574932226</v>
      </c>
      <c r="I459">
        <f>SUM(Sayfa1!G436:G459)</f>
        <v>2.86102294921875E-3</v>
      </c>
    </row>
    <row r="460" spans="1:9" x14ac:dyDescent="0.3">
      <c r="A460">
        <v>-118.5</v>
      </c>
      <c r="B460">
        <v>34</v>
      </c>
      <c r="C460">
        <v>2025</v>
      </c>
      <c r="D460">
        <v>1</v>
      </c>
      <c r="E460">
        <v>20</v>
      </c>
      <c r="F460">
        <f>Sayfa1!C460-273.15</f>
        <v>10.554589843750023</v>
      </c>
      <c r="G460">
        <v>86.226669311523438</v>
      </c>
      <c r="H460">
        <f>SQRT(Sayfa1!D460^2+Sayfa1!E460^2)</f>
        <v>3.3508323540532179</v>
      </c>
      <c r="I460">
        <f>SUM(Sayfa1!G437:G460)</f>
        <v>2.86102294921875E-3</v>
      </c>
    </row>
    <row r="461" spans="1:9" x14ac:dyDescent="0.3">
      <c r="A461">
        <v>-118.5</v>
      </c>
      <c r="B461">
        <v>34</v>
      </c>
      <c r="C461">
        <v>2025</v>
      </c>
      <c r="D461">
        <v>1</v>
      </c>
      <c r="E461">
        <v>20</v>
      </c>
      <c r="F461">
        <f>Sayfa1!C461-273.15</f>
        <v>10.071801757812523</v>
      </c>
      <c r="G461">
        <v>90.215530395507813</v>
      </c>
      <c r="H461">
        <f>SQRT(Sayfa1!D461^2+Sayfa1!E461^2)</f>
        <v>3.0062243119318159</v>
      </c>
      <c r="I461">
        <f>SUM(Sayfa1!G438:G461)</f>
        <v>2.86102294921875E-3</v>
      </c>
    </row>
    <row r="462" spans="1:9" x14ac:dyDescent="0.3">
      <c r="A462">
        <v>-118.5</v>
      </c>
      <c r="B462">
        <v>34</v>
      </c>
      <c r="C462">
        <v>2025</v>
      </c>
      <c r="D462">
        <v>1</v>
      </c>
      <c r="E462">
        <v>20</v>
      </c>
      <c r="F462">
        <f>Sayfa1!C462-273.15</f>
        <v>9.9033447265625227</v>
      </c>
      <c r="G462">
        <v>92.725189208984375</v>
      </c>
      <c r="H462">
        <f>SQRT(Sayfa1!D462^2+Sayfa1!E462^2)</f>
        <v>2.3357497490369648</v>
      </c>
      <c r="I462">
        <f>SUM(Sayfa1!G439:G462)</f>
        <v>2.86102294921875E-3</v>
      </c>
    </row>
    <row r="463" spans="1:9" x14ac:dyDescent="0.3">
      <c r="A463">
        <v>-118.5</v>
      </c>
      <c r="B463">
        <v>34</v>
      </c>
      <c r="C463">
        <v>2025</v>
      </c>
      <c r="D463">
        <v>1</v>
      </c>
      <c r="E463">
        <v>20</v>
      </c>
      <c r="F463">
        <f>Sayfa1!C463-273.15</f>
        <v>9.9034667968750227</v>
      </c>
      <c r="G463">
        <v>93.922454833984375</v>
      </c>
      <c r="H463">
        <f>SQRT(Sayfa1!D463^2+Sayfa1!E463^2)</f>
        <v>1.696863504321674</v>
      </c>
      <c r="I463">
        <f>SUM(Sayfa1!G440:G463)</f>
        <v>2.86102294921875E-3</v>
      </c>
    </row>
    <row r="464" spans="1:9" x14ac:dyDescent="0.3">
      <c r="A464">
        <v>-118.5</v>
      </c>
      <c r="B464">
        <v>34</v>
      </c>
      <c r="C464">
        <v>2025</v>
      </c>
      <c r="D464">
        <v>1</v>
      </c>
      <c r="E464">
        <v>20</v>
      </c>
      <c r="F464">
        <f>Sayfa1!C464-273.15</f>
        <v>9.8756347656250227</v>
      </c>
      <c r="G464">
        <v>94.899810791015625</v>
      </c>
      <c r="H464">
        <f>SQRT(Sayfa1!D464^2+Sayfa1!E464^2)</f>
        <v>1.2413971145661653</v>
      </c>
      <c r="I464">
        <f>SUM(Sayfa1!G441:G464)</f>
        <v>2.86102294921875E-3</v>
      </c>
    </row>
    <row r="465" spans="1:9" x14ac:dyDescent="0.3">
      <c r="A465">
        <v>-118.5</v>
      </c>
      <c r="B465">
        <v>34</v>
      </c>
      <c r="C465">
        <v>2025</v>
      </c>
      <c r="D465">
        <v>1</v>
      </c>
      <c r="E465">
        <v>20</v>
      </c>
      <c r="F465">
        <f>Sayfa1!C465-273.15</f>
        <v>9.8545166015625227</v>
      </c>
      <c r="G465">
        <v>94.220352172851563</v>
      </c>
      <c r="H465">
        <f>SQRT(Sayfa1!D465^2+Sayfa1!E465^2)</f>
        <v>0.68781857871424634</v>
      </c>
      <c r="I465">
        <f>SUM(Sayfa1!G442:G465)</f>
        <v>4.76837158203125E-3</v>
      </c>
    </row>
    <row r="466" spans="1:9" x14ac:dyDescent="0.3">
      <c r="A466">
        <v>-118.5</v>
      </c>
      <c r="B466">
        <v>34</v>
      </c>
      <c r="C466">
        <v>2025</v>
      </c>
      <c r="D466">
        <v>1</v>
      </c>
      <c r="E466">
        <v>20</v>
      </c>
      <c r="F466">
        <f>Sayfa1!C466-273.15</f>
        <v>9.8092285156250227</v>
      </c>
      <c r="G466">
        <v>93.099090576171875</v>
      </c>
      <c r="H466">
        <f>SQRT(Sayfa1!D466^2+Sayfa1!E466^2)</f>
        <v>0.13913783931808393</v>
      </c>
      <c r="I466">
        <f>SUM(Sayfa1!G443:G466)</f>
        <v>9.059906005859375E-3</v>
      </c>
    </row>
    <row r="467" spans="1:9" x14ac:dyDescent="0.3">
      <c r="A467">
        <v>-118.5</v>
      </c>
      <c r="B467">
        <v>34</v>
      </c>
      <c r="C467">
        <v>2025</v>
      </c>
      <c r="D467">
        <v>1</v>
      </c>
      <c r="E467">
        <v>20</v>
      </c>
      <c r="F467">
        <f>Sayfa1!C467-273.15</f>
        <v>9.7400146484375227</v>
      </c>
      <c r="G467">
        <v>92.560638427734375</v>
      </c>
      <c r="H467">
        <f>SQRT(Sayfa1!D467^2+Sayfa1!E467^2)</f>
        <v>0.59016235617184687</v>
      </c>
      <c r="I467">
        <f>SUM(Sayfa1!G444:G467)</f>
        <v>1.0967254638671875E-2</v>
      </c>
    </row>
    <row r="468" spans="1:9" x14ac:dyDescent="0.3">
      <c r="A468">
        <v>-118.5</v>
      </c>
      <c r="B468">
        <v>34</v>
      </c>
      <c r="C468">
        <v>2025</v>
      </c>
      <c r="D468">
        <v>1</v>
      </c>
      <c r="E468">
        <v>20</v>
      </c>
      <c r="F468">
        <f>Sayfa1!C468-273.15</f>
        <v>9.7658325195312727</v>
      </c>
      <c r="G468">
        <v>91.0103759765625</v>
      </c>
      <c r="H468">
        <f>SQRT(Sayfa1!D468^2+Sayfa1!E468^2)</f>
        <v>2.2741127201489184</v>
      </c>
      <c r="I468">
        <f>SUM(Sayfa1!G445:G468)</f>
        <v>1.3828277587890625E-2</v>
      </c>
    </row>
    <row r="469" spans="1:9" x14ac:dyDescent="0.3">
      <c r="A469">
        <v>-118.5</v>
      </c>
      <c r="B469">
        <v>34</v>
      </c>
      <c r="C469">
        <v>2025</v>
      </c>
      <c r="D469">
        <v>1</v>
      </c>
      <c r="E469">
        <v>20</v>
      </c>
      <c r="F469">
        <f>Sayfa1!C469-273.15</f>
        <v>10.179772949218773</v>
      </c>
      <c r="G469">
        <v>90.534271240234375</v>
      </c>
      <c r="H469">
        <f>SQRT(Sayfa1!D469^2+Sayfa1!E469^2)</f>
        <v>2.3656460080361974</v>
      </c>
      <c r="I469">
        <f>SUM(Sayfa1!G446:G469)</f>
        <v>1.5735626220703125E-2</v>
      </c>
    </row>
    <row r="470" spans="1:9" x14ac:dyDescent="0.3">
      <c r="A470">
        <v>-118.5</v>
      </c>
      <c r="B470">
        <v>34</v>
      </c>
      <c r="C470">
        <v>2025</v>
      </c>
      <c r="D470">
        <v>1</v>
      </c>
      <c r="E470">
        <v>20</v>
      </c>
      <c r="F470">
        <f>Sayfa1!C470-273.15</f>
        <v>10.556970214843773</v>
      </c>
      <c r="G470">
        <v>87.80328369140625</v>
      </c>
      <c r="H470">
        <f>SQRT(Sayfa1!D470^2+Sayfa1!E470^2)</f>
        <v>1.9739786065276979</v>
      </c>
      <c r="I470">
        <f>SUM(Sayfa1!G447:G470)</f>
        <v>1.6689300537109375E-2</v>
      </c>
    </row>
    <row r="471" spans="1:9" x14ac:dyDescent="0.3">
      <c r="A471">
        <v>-118.5</v>
      </c>
      <c r="B471">
        <v>34</v>
      </c>
      <c r="C471">
        <v>2025</v>
      </c>
      <c r="D471">
        <v>1</v>
      </c>
      <c r="E471">
        <v>20</v>
      </c>
      <c r="F471">
        <f>Sayfa1!C471-273.15</f>
        <v>10.828637695312523</v>
      </c>
      <c r="G471">
        <v>83.874343872070313</v>
      </c>
      <c r="H471">
        <f>SQRT(Sayfa1!D471^2+Sayfa1!E471^2)</f>
        <v>1.708529747369574</v>
      </c>
      <c r="I471">
        <f>SUM(Sayfa1!G448:G471)</f>
        <v>1.71661376953125E-2</v>
      </c>
    </row>
    <row r="472" spans="1:9" x14ac:dyDescent="0.3">
      <c r="A472">
        <v>-118.5</v>
      </c>
      <c r="B472">
        <v>34</v>
      </c>
      <c r="C472">
        <v>2025</v>
      </c>
      <c r="D472">
        <v>1</v>
      </c>
      <c r="E472">
        <v>20</v>
      </c>
      <c r="F472">
        <f>Sayfa1!C472-273.15</f>
        <v>11.063012695312523</v>
      </c>
      <c r="G472">
        <v>82.024490356445313</v>
      </c>
      <c r="H472">
        <f>SQRT(Sayfa1!D472^2+Sayfa1!E472^2)</f>
        <v>1.7325916774890939</v>
      </c>
      <c r="I472">
        <f>SUM(Sayfa1!G449:G472)</f>
        <v>1.71661376953125E-2</v>
      </c>
    </row>
    <row r="473" spans="1:9" x14ac:dyDescent="0.3">
      <c r="A473">
        <v>-118.5</v>
      </c>
      <c r="B473">
        <v>34</v>
      </c>
      <c r="C473">
        <v>2025</v>
      </c>
      <c r="D473">
        <v>1</v>
      </c>
      <c r="E473">
        <v>20</v>
      </c>
      <c r="F473">
        <f>Sayfa1!C473-273.15</f>
        <v>11.445336914062523</v>
      </c>
      <c r="G473">
        <v>78.803497314453125</v>
      </c>
      <c r="H473">
        <f>SQRT(Sayfa1!D473^2+Sayfa1!E473^2)</f>
        <v>1.8258343890909989</v>
      </c>
      <c r="I473">
        <f>SUM(Sayfa1!G450:G473)</f>
        <v>1.71661376953125E-2</v>
      </c>
    </row>
    <row r="474" spans="1:9" x14ac:dyDescent="0.3">
      <c r="A474">
        <v>-118.5</v>
      </c>
      <c r="B474">
        <v>34</v>
      </c>
      <c r="C474">
        <v>2025</v>
      </c>
      <c r="D474">
        <v>1</v>
      </c>
      <c r="E474">
        <v>20</v>
      </c>
      <c r="F474">
        <f>Sayfa1!C474-273.15</f>
        <v>11.792871093750023</v>
      </c>
      <c r="G474">
        <v>71.658279418945313</v>
      </c>
      <c r="H474">
        <f>SQRT(Sayfa1!D474^2+Sayfa1!E474^2)</f>
        <v>1.2682343161752232</v>
      </c>
      <c r="I474">
        <f>SUM(Sayfa1!G451:G474)</f>
        <v>1.6689300537109375E-2</v>
      </c>
    </row>
    <row r="475" spans="1:9" x14ac:dyDescent="0.3">
      <c r="A475">
        <v>-118.5</v>
      </c>
      <c r="B475">
        <v>34</v>
      </c>
      <c r="C475">
        <v>2025</v>
      </c>
      <c r="D475">
        <v>1</v>
      </c>
      <c r="E475">
        <v>20</v>
      </c>
      <c r="F475">
        <f>Sayfa1!C475-273.15</f>
        <v>12.195581054687523</v>
      </c>
      <c r="G475">
        <v>57.5712890625</v>
      </c>
      <c r="H475">
        <f>SQRT(Sayfa1!D475^2+Sayfa1!E475^2)</f>
        <v>1.3607430119071884</v>
      </c>
      <c r="I475">
        <f>SUM(Sayfa1!G452:G475)</f>
        <v>1.6689300537109375E-2</v>
      </c>
    </row>
    <row r="476" spans="1:9" x14ac:dyDescent="0.3">
      <c r="A476">
        <v>-118.5</v>
      </c>
      <c r="B476">
        <v>34</v>
      </c>
      <c r="C476">
        <v>2025</v>
      </c>
      <c r="D476">
        <v>1</v>
      </c>
      <c r="E476">
        <v>20</v>
      </c>
      <c r="F476">
        <f>Sayfa1!C476-273.15</f>
        <v>13.120385742187523</v>
      </c>
      <c r="G476">
        <v>41.814685821533203</v>
      </c>
      <c r="H476">
        <f>SQRT(Sayfa1!D476^2+Sayfa1!E476^2)</f>
        <v>1.6867324764300329</v>
      </c>
      <c r="I476">
        <f>SUM(Sayfa1!G453:G476)</f>
        <v>1.6689300537109375E-2</v>
      </c>
    </row>
    <row r="477" spans="1:9" x14ac:dyDescent="0.3">
      <c r="A477">
        <v>-118.5</v>
      </c>
      <c r="B477">
        <v>34</v>
      </c>
      <c r="C477">
        <v>2025</v>
      </c>
      <c r="D477">
        <v>1</v>
      </c>
      <c r="E477">
        <v>20</v>
      </c>
      <c r="F477">
        <f>Sayfa1!C477-273.15</f>
        <v>15.393518066406273</v>
      </c>
      <c r="G477">
        <v>32.579788208007813</v>
      </c>
      <c r="H477">
        <f>SQRT(Sayfa1!D477^2+Sayfa1!E477^2)</f>
        <v>2.2697316627951478</v>
      </c>
      <c r="I477">
        <f>SUM(Sayfa1!G454:G477)</f>
        <v>1.621246337890625E-2</v>
      </c>
    </row>
    <row r="478" spans="1:9" x14ac:dyDescent="0.3">
      <c r="A478">
        <v>-118.5</v>
      </c>
      <c r="B478">
        <v>34</v>
      </c>
      <c r="C478">
        <v>2025</v>
      </c>
      <c r="D478">
        <v>1</v>
      </c>
      <c r="E478">
        <v>20</v>
      </c>
      <c r="F478">
        <f>Sayfa1!C478-273.15</f>
        <v>16.822229003906273</v>
      </c>
      <c r="G478">
        <v>26.507339477539063</v>
      </c>
      <c r="H478">
        <f>SQRT(Sayfa1!D478^2+Sayfa1!E478^2)</f>
        <v>2.8004316435302892</v>
      </c>
      <c r="I478">
        <f>SUM(Sayfa1!G455:G478)</f>
        <v>1.5735626220703125E-2</v>
      </c>
    </row>
    <row r="479" spans="1:9" x14ac:dyDescent="0.3">
      <c r="A479">
        <v>-118.5</v>
      </c>
      <c r="B479">
        <v>34</v>
      </c>
      <c r="C479">
        <v>2025</v>
      </c>
      <c r="D479">
        <v>1</v>
      </c>
      <c r="E479">
        <v>20</v>
      </c>
      <c r="F479">
        <f>Sayfa1!C479-273.15</f>
        <v>17.796228027343773</v>
      </c>
      <c r="G479">
        <v>20.984399795532227</v>
      </c>
      <c r="H479">
        <f>SQRT(Sayfa1!D479^2+Sayfa1!E479^2)</f>
        <v>3.4085960000520563</v>
      </c>
      <c r="I479">
        <f>SUM(Sayfa1!G456:G479)</f>
        <v>1.5735626220703125E-2</v>
      </c>
    </row>
    <row r="480" spans="1:9" x14ac:dyDescent="0.3">
      <c r="A480">
        <v>-118.5</v>
      </c>
      <c r="B480">
        <v>34</v>
      </c>
      <c r="C480">
        <v>2025</v>
      </c>
      <c r="D480">
        <v>1</v>
      </c>
      <c r="E480">
        <v>20</v>
      </c>
      <c r="F480">
        <f>Sayfa1!C480-273.15</f>
        <v>18.280847167968773</v>
      </c>
      <c r="G480">
        <v>14.747272491455078</v>
      </c>
      <c r="H480">
        <f>SQRT(Sayfa1!D480^2+Sayfa1!E480^2)</f>
        <v>4.2754999956736075</v>
      </c>
      <c r="I480">
        <f>SUM(Sayfa1!G457:G480)</f>
        <v>1.5735626220703125E-2</v>
      </c>
    </row>
    <row r="481" spans="1:9" x14ac:dyDescent="0.3">
      <c r="A481">
        <v>-118.5</v>
      </c>
      <c r="B481">
        <v>34</v>
      </c>
      <c r="C481">
        <v>2025</v>
      </c>
      <c r="D481">
        <v>1</v>
      </c>
      <c r="E481">
        <v>20</v>
      </c>
      <c r="F481">
        <f>Sayfa1!C481-273.15</f>
        <v>18.644616699218773</v>
      </c>
      <c r="G481">
        <v>10.506053924560547</v>
      </c>
      <c r="H481">
        <f>SQRT(Sayfa1!D481^2+Sayfa1!E481^2)</f>
        <v>4.3544855210783</v>
      </c>
      <c r="I481">
        <f>SUM(Sayfa1!G458:G481)</f>
        <v>1.5735626220703125E-2</v>
      </c>
    </row>
    <row r="482" spans="1:9" x14ac:dyDescent="0.3">
      <c r="A482">
        <v>-118.5</v>
      </c>
      <c r="B482">
        <v>34</v>
      </c>
      <c r="C482">
        <v>2025</v>
      </c>
      <c r="D482">
        <v>1</v>
      </c>
      <c r="E482">
        <v>21</v>
      </c>
      <c r="F482">
        <f>Sayfa1!C482-273.15</f>
        <v>18.661096191406273</v>
      </c>
      <c r="G482">
        <v>8.8458986282348633</v>
      </c>
      <c r="H482">
        <f>SQRT(Sayfa1!D482^2+Sayfa1!E482^2)</f>
        <v>3.8179174745874356</v>
      </c>
      <c r="I482">
        <f>SUM(Sayfa1!G459:G482)</f>
        <v>1.5735626220703125E-2</v>
      </c>
    </row>
    <row r="483" spans="1:9" x14ac:dyDescent="0.3">
      <c r="A483">
        <v>-118.5</v>
      </c>
      <c r="B483">
        <v>34</v>
      </c>
      <c r="C483">
        <v>2025</v>
      </c>
      <c r="D483">
        <v>1</v>
      </c>
      <c r="E483">
        <v>21</v>
      </c>
      <c r="F483">
        <f>Sayfa1!C483-273.15</f>
        <v>18.404138183593773</v>
      </c>
      <c r="G483">
        <v>8.7798147201538086</v>
      </c>
      <c r="H483">
        <f>SQRT(Sayfa1!D483^2+Sayfa1!E483^2)</f>
        <v>2.8693857564220928</v>
      </c>
      <c r="I483">
        <f>SUM(Sayfa1!G460:G483)</f>
        <v>1.5735626220703125E-2</v>
      </c>
    </row>
    <row r="484" spans="1:9" x14ac:dyDescent="0.3">
      <c r="A484">
        <v>-118.5</v>
      </c>
      <c r="B484">
        <v>34</v>
      </c>
      <c r="C484">
        <v>2025</v>
      </c>
      <c r="D484">
        <v>1</v>
      </c>
      <c r="E484">
        <v>21</v>
      </c>
      <c r="F484">
        <f>Sayfa1!C484-273.15</f>
        <v>17.938989257812523</v>
      </c>
      <c r="G484">
        <v>9.1089420318603516</v>
      </c>
      <c r="H484">
        <f>SQRT(Sayfa1!D484^2+Sayfa1!E484^2)</f>
        <v>2.4547808652790151</v>
      </c>
      <c r="I484">
        <f>SUM(Sayfa1!G461:G484)</f>
        <v>1.5735626220703125E-2</v>
      </c>
    </row>
    <row r="485" spans="1:9" x14ac:dyDescent="0.3">
      <c r="A485">
        <v>-118.5</v>
      </c>
      <c r="B485">
        <v>34</v>
      </c>
      <c r="C485">
        <v>2025</v>
      </c>
      <c r="D485">
        <v>1</v>
      </c>
      <c r="E485">
        <v>21</v>
      </c>
      <c r="F485">
        <f>Sayfa1!C485-273.15</f>
        <v>17.275292968750023</v>
      </c>
      <c r="G485">
        <v>10.283275604248047</v>
      </c>
      <c r="H485">
        <f>SQRT(Sayfa1!D485^2+Sayfa1!E485^2)</f>
        <v>2.579586547000662</v>
      </c>
      <c r="I485">
        <f>SUM(Sayfa1!G462:G485)</f>
        <v>1.5735626220703125E-2</v>
      </c>
    </row>
    <row r="486" spans="1:9" x14ac:dyDescent="0.3">
      <c r="A486">
        <v>-118.5</v>
      </c>
      <c r="B486">
        <v>34</v>
      </c>
      <c r="C486">
        <v>2025</v>
      </c>
      <c r="D486">
        <v>1</v>
      </c>
      <c r="E486">
        <v>21</v>
      </c>
      <c r="F486">
        <f>Sayfa1!C486-273.15</f>
        <v>16.578881835937523</v>
      </c>
      <c r="G486">
        <v>11.96910572052002</v>
      </c>
      <c r="H486">
        <f>SQRT(Sayfa1!D486^2+Sayfa1!E486^2)</f>
        <v>3.4115210287180395</v>
      </c>
      <c r="I486">
        <f>SUM(Sayfa1!G463:G486)</f>
        <v>1.5735626220703125E-2</v>
      </c>
    </row>
    <row r="487" spans="1:9" x14ac:dyDescent="0.3">
      <c r="A487">
        <v>-118.5</v>
      </c>
      <c r="B487">
        <v>34</v>
      </c>
      <c r="C487">
        <v>2025</v>
      </c>
      <c r="D487">
        <v>1</v>
      </c>
      <c r="E487">
        <v>21</v>
      </c>
      <c r="F487">
        <f>Sayfa1!C487-273.15</f>
        <v>15.840356445312523</v>
      </c>
      <c r="G487">
        <v>14.303229331970215</v>
      </c>
      <c r="H487">
        <f>SQRT(Sayfa1!D487^2+Sayfa1!E487^2)</f>
        <v>4.5245444287293912</v>
      </c>
      <c r="I487">
        <f>SUM(Sayfa1!G464:G487)</f>
        <v>1.5735626220703125E-2</v>
      </c>
    </row>
    <row r="488" spans="1:9" x14ac:dyDescent="0.3">
      <c r="A488">
        <v>-118.5</v>
      </c>
      <c r="B488">
        <v>34</v>
      </c>
      <c r="C488">
        <v>2025</v>
      </c>
      <c r="D488">
        <v>1</v>
      </c>
      <c r="E488">
        <v>21</v>
      </c>
      <c r="F488">
        <f>Sayfa1!C488-273.15</f>
        <v>14.951196289062523</v>
      </c>
      <c r="G488">
        <v>15.532547950744629</v>
      </c>
      <c r="H488">
        <f>SQRT(Sayfa1!D488^2+Sayfa1!E488^2)</f>
        <v>5.1358666307208436</v>
      </c>
      <c r="I488">
        <f>SUM(Sayfa1!G465:G488)</f>
        <v>1.5735626220703125E-2</v>
      </c>
    </row>
    <row r="489" spans="1:9" x14ac:dyDescent="0.3">
      <c r="A489">
        <v>-118.5</v>
      </c>
      <c r="B489">
        <v>34</v>
      </c>
      <c r="C489">
        <v>2025</v>
      </c>
      <c r="D489">
        <v>1</v>
      </c>
      <c r="E489">
        <v>21</v>
      </c>
      <c r="F489">
        <f>Sayfa1!C489-273.15</f>
        <v>13.960351562500023</v>
      </c>
      <c r="G489">
        <v>14.778515815734863</v>
      </c>
      <c r="H489">
        <f>SQRT(Sayfa1!D489^2+Sayfa1!E489^2)</f>
        <v>5.5400208497155718</v>
      </c>
      <c r="I489">
        <f>SUM(Sayfa1!G466:G489)</f>
        <v>1.3828277587890625E-2</v>
      </c>
    </row>
    <row r="490" spans="1:9" x14ac:dyDescent="0.3">
      <c r="A490">
        <v>-118.5</v>
      </c>
      <c r="B490">
        <v>34</v>
      </c>
      <c r="C490">
        <v>2025</v>
      </c>
      <c r="D490">
        <v>1</v>
      </c>
      <c r="E490">
        <v>21</v>
      </c>
      <c r="F490">
        <f>Sayfa1!C490-273.15</f>
        <v>13.310327148437523</v>
      </c>
      <c r="G490">
        <v>14.264338493347168</v>
      </c>
      <c r="H490">
        <f>SQRT(Sayfa1!D490^2+Sayfa1!E490^2)</f>
        <v>5.8366555153395332</v>
      </c>
      <c r="I490">
        <f>SUM(Sayfa1!G467:G490)</f>
        <v>9.5367431640625E-3</v>
      </c>
    </row>
    <row r="491" spans="1:9" x14ac:dyDescent="0.3">
      <c r="A491">
        <v>-118.5</v>
      </c>
      <c r="B491">
        <v>34</v>
      </c>
      <c r="C491">
        <v>2025</v>
      </c>
      <c r="D491">
        <v>1</v>
      </c>
      <c r="E491">
        <v>21</v>
      </c>
      <c r="F491">
        <f>Sayfa1!C491-273.15</f>
        <v>12.950830078125023</v>
      </c>
      <c r="G491">
        <v>14.533125877380371</v>
      </c>
      <c r="H491">
        <f>SQRT(Sayfa1!D491^2+Sayfa1!E491^2)</f>
        <v>5.8841708125530161</v>
      </c>
      <c r="I491">
        <f>SUM(Sayfa1!G468:G491)</f>
        <v>7.62939453125E-3</v>
      </c>
    </row>
    <row r="492" spans="1:9" x14ac:dyDescent="0.3">
      <c r="A492">
        <v>-118.5</v>
      </c>
      <c r="B492">
        <v>34</v>
      </c>
      <c r="C492">
        <v>2025</v>
      </c>
      <c r="D492">
        <v>1</v>
      </c>
      <c r="E492">
        <v>21</v>
      </c>
      <c r="F492">
        <f>Sayfa1!C492-273.15</f>
        <v>12.528588867187523</v>
      </c>
      <c r="G492">
        <v>14.609951019287109</v>
      </c>
      <c r="H492">
        <f>SQRT(Sayfa1!D492^2+Sayfa1!E492^2)</f>
        <v>5.3607707396588546</v>
      </c>
      <c r="I492">
        <f>SUM(Sayfa1!G469:G492)</f>
        <v>4.76837158203125E-3</v>
      </c>
    </row>
    <row r="493" spans="1:9" x14ac:dyDescent="0.3">
      <c r="A493">
        <v>-118.5</v>
      </c>
      <c r="B493">
        <v>34</v>
      </c>
      <c r="C493">
        <v>2025</v>
      </c>
      <c r="D493">
        <v>1</v>
      </c>
      <c r="E493">
        <v>21</v>
      </c>
      <c r="F493">
        <f>Sayfa1!C493-273.15</f>
        <v>12.122644042968773</v>
      </c>
      <c r="G493">
        <v>15.684220314025879</v>
      </c>
      <c r="H493">
        <f>SQRT(Sayfa1!D493^2+Sayfa1!E493^2)</f>
        <v>5.0277336451484578</v>
      </c>
      <c r="I493">
        <f>SUM(Sayfa1!G470:G493)</f>
        <v>1.9073486328125E-3</v>
      </c>
    </row>
    <row r="494" spans="1:9" x14ac:dyDescent="0.3">
      <c r="A494">
        <v>-118.5</v>
      </c>
      <c r="B494">
        <v>34</v>
      </c>
      <c r="C494">
        <v>2025</v>
      </c>
      <c r="D494">
        <v>1</v>
      </c>
      <c r="E494">
        <v>21</v>
      </c>
      <c r="F494">
        <f>Sayfa1!C494-273.15</f>
        <v>11.698876953125023</v>
      </c>
      <c r="G494">
        <v>17.524082183837891</v>
      </c>
      <c r="H494">
        <f>SQRT(Sayfa1!D494^2+Sayfa1!E494^2)</f>
        <v>4.1713833402264768</v>
      </c>
      <c r="I494">
        <f>SUM(Sayfa1!G471:G494)</f>
        <v>4.76837158203125E-4</v>
      </c>
    </row>
    <row r="495" spans="1:9" x14ac:dyDescent="0.3">
      <c r="A495">
        <v>-118.5</v>
      </c>
      <c r="B495">
        <v>34</v>
      </c>
      <c r="C495">
        <v>2025</v>
      </c>
      <c r="D495">
        <v>1</v>
      </c>
      <c r="E495">
        <v>21</v>
      </c>
      <c r="F495">
        <f>Sayfa1!C495-273.15</f>
        <v>11.386987304687523</v>
      </c>
      <c r="G495">
        <v>19.41351318359375</v>
      </c>
      <c r="H495">
        <f>SQRT(Sayfa1!D495^2+Sayfa1!E495^2)</f>
        <v>4.0996383984121296</v>
      </c>
      <c r="I495">
        <f>SUM(Sayfa1!G472:G495)</f>
        <v>0</v>
      </c>
    </row>
    <row r="496" spans="1:9" x14ac:dyDescent="0.3">
      <c r="A496">
        <v>-118.5</v>
      </c>
      <c r="B496">
        <v>34</v>
      </c>
      <c r="C496">
        <v>2025</v>
      </c>
      <c r="D496">
        <v>1</v>
      </c>
      <c r="E496">
        <v>21</v>
      </c>
      <c r="F496">
        <f>Sayfa1!C496-273.15</f>
        <v>11.217797851562523</v>
      </c>
      <c r="G496">
        <v>20.681571960449219</v>
      </c>
      <c r="H496">
        <f>SQRT(Sayfa1!D496^2+Sayfa1!E496^2)</f>
        <v>4.4935917604630458</v>
      </c>
      <c r="I496">
        <f>SUM(Sayfa1!G473:G496)</f>
        <v>0</v>
      </c>
    </row>
    <row r="497" spans="1:9" x14ac:dyDescent="0.3">
      <c r="A497">
        <v>-118.5</v>
      </c>
      <c r="B497">
        <v>34</v>
      </c>
      <c r="C497">
        <v>2025</v>
      </c>
      <c r="D497">
        <v>1</v>
      </c>
      <c r="E497">
        <v>21</v>
      </c>
      <c r="F497">
        <f>Sayfa1!C497-273.15</f>
        <v>11.057763671875023</v>
      </c>
      <c r="G497">
        <v>20.933078765869141</v>
      </c>
      <c r="H497">
        <f>SQRT(Sayfa1!D497^2+Sayfa1!E497^2)</f>
        <v>4.5073927594507879</v>
      </c>
      <c r="I497">
        <f>SUM(Sayfa1!G474:G497)</f>
        <v>0</v>
      </c>
    </row>
    <row r="498" spans="1:9" x14ac:dyDescent="0.3">
      <c r="A498">
        <v>-118.5</v>
      </c>
      <c r="B498">
        <v>34</v>
      </c>
      <c r="C498">
        <v>2025</v>
      </c>
      <c r="D498">
        <v>1</v>
      </c>
      <c r="E498">
        <v>21</v>
      </c>
      <c r="F498">
        <f>Sayfa1!C498-273.15</f>
        <v>11.160668945312523</v>
      </c>
      <c r="G498">
        <v>19.798479080200195</v>
      </c>
      <c r="H498">
        <f>SQRT(Sayfa1!D498^2+Sayfa1!E498^2)</f>
        <v>3.7443437302624081</v>
      </c>
      <c r="I498">
        <f>SUM(Sayfa1!G475:G498)</f>
        <v>0</v>
      </c>
    </row>
    <row r="499" spans="1:9" x14ac:dyDescent="0.3">
      <c r="A499">
        <v>-118.5</v>
      </c>
      <c r="B499">
        <v>34</v>
      </c>
      <c r="C499">
        <v>2025</v>
      </c>
      <c r="D499">
        <v>1</v>
      </c>
      <c r="E499">
        <v>21</v>
      </c>
      <c r="F499">
        <f>Sayfa1!C499-273.15</f>
        <v>11.936547851562523</v>
      </c>
      <c r="G499">
        <v>15.221487998962402</v>
      </c>
      <c r="H499">
        <f>SQRT(Sayfa1!D499^2+Sayfa1!E499^2)</f>
        <v>3.216268258734448</v>
      </c>
      <c r="I499">
        <f>SUM(Sayfa1!G476:G499)</f>
        <v>0</v>
      </c>
    </row>
    <row r="500" spans="1:9" x14ac:dyDescent="0.3">
      <c r="A500">
        <v>-118.5</v>
      </c>
      <c r="B500">
        <v>34</v>
      </c>
      <c r="C500">
        <v>2025</v>
      </c>
      <c r="D500">
        <v>1</v>
      </c>
      <c r="E500">
        <v>21</v>
      </c>
      <c r="F500">
        <f>Sayfa1!C500-273.15</f>
        <v>13.442407226562523</v>
      </c>
      <c r="G500">
        <v>9.5468206405639648</v>
      </c>
      <c r="H500">
        <f>SQRT(Sayfa1!D500^2+Sayfa1!E500^2)</f>
        <v>3.6575569260819685</v>
      </c>
      <c r="I500">
        <f>SUM(Sayfa1!G477:G500)</f>
        <v>0</v>
      </c>
    </row>
    <row r="501" spans="1:9" x14ac:dyDescent="0.3">
      <c r="A501">
        <v>-118.5</v>
      </c>
      <c r="B501">
        <v>34</v>
      </c>
      <c r="C501">
        <v>2025</v>
      </c>
      <c r="D501">
        <v>1</v>
      </c>
      <c r="E501">
        <v>21</v>
      </c>
      <c r="F501">
        <f>Sayfa1!C501-273.15</f>
        <v>15.191125488281273</v>
      </c>
      <c r="G501">
        <v>7.9214229583740234</v>
      </c>
      <c r="H501">
        <f>SQRT(Sayfa1!D501^2+Sayfa1!E501^2)</f>
        <v>4.4184439140721201</v>
      </c>
      <c r="I501">
        <f>SUM(Sayfa1!G478:G501)</f>
        <v>0</v>
      </c>
    </row>
    <row r="502" spans="1:9" x14ac:dyDescent="0.3">
      <c r="A502">
        <v>-118.5</v>
      </c>
      <c r="B502">
        <v>34</v>
      </c>
      <c r="C502">
        <v>2025</v>
      </c>
      <c r="D502">
        <v>1</v>
      </c>
      <c r="E502">
        <v>21</v>
      </c>
      <c r="F502">
        <f>Sayfa1!C502-273.15</f>
        <v>16.896081542968773</v>
      </c>
      <c r="G502">
        <v>6.9478740692138672</v>
      </c>
      <c r="H502">
        <f>SQRT(Sayfa1!D502^2+Sayfa1!E502^2)</f>
        <v>4.3079585805126568</v>
      </c>
      <c r="I502">
        <f>SUM(Sayfa1!G479:G502)</f>
        <v>0</v>
      </c>
    </row>
    <row r="503" spans="1:9" x14ac:dyDescent="0.3">
      <c r="A503">
        <v>-118.5</v>
      </c>
      <c r="B503">
        <v>34</v>
      </c>
      <c r="C503">
        <v>2025</v>
      </c>
      <c r="D503">
        <v>1</v>
      </c>
      <c r="E503">
        <v>21</v>
      </c>
      <c r="F503">
        <f>Sayfa1!C503-273.15</f>
        <v>18.241113281250023</v>
      </c>
      <c r="G503">
        <v>6.0306634902954102</v>
      </c>
      <c r="H503">
        <f>SQRT(Sayfa1!D503^2+Sayfa1!E503^2)</f>
        <v>3.7381553342195457</v>
      </c>
      <c r="I503">
        <f>SUM(Sayfa1!G480:G503)</f>
        <v>0</v>
      </c>
    </row>
    <row r="504" spans="1:9" x14ac:dyDescent="0.3">
      <c r="A504">
        <v>-118.5</v>
      </c>
      <c r="B504">
        <v>34</v>
      </c>
      <c r="C504">
        <v>2025</v>
      </c>
      <c r="D504">
        <v>1</v>
      </c>
      <c r="E504">
        <v>21</v>
      </c>
      <c r="F504">
        <f>Sayfa1!C504-273.15</f>
        <v>18.780175781250023</v>
      </c>
      <c r="G504">
        <v>6.284327507019043</v>
      </c>
      <c r="H504">
        <f>SQRT(Sayfa1!D504^2+Sayfa1!E504^2)</f>
        <v>4.2746235470078018</v>
      </c>
      <c r="I504">
        <f>SUM(Sayfa1!G481:G504)</f>
        <v>0</v>
      </c>
    </row>
    <row r="505" spans="1:9" x14ac:dyDescent="0.3">
      <c r="A505">
        <v>-118.5</v>
      </c>
      <c r="B505">
        <v>34</v>
      </c>
      <c r="C505">
        <v>2025</v>
      </c>
      <c r="D505">
        <v>1</v>
      </c>
      <c r="E505">
        <v>21</v>
      </c>
      <c r="F505">
        <f>Sayfa1!C505-273.15</f>
        <v>19.594628906250023</v>
      </c>
      <c r="G505">
        <v>5.5046024322509766</v>
      </c>
      <c r="H505">
        <f>SQRT(Sayfa1!D505^2+Sayfa1!E505^2)</f>
        <v>5.0188771462020849</v>
      </c>
      <c r="I505">
        <f>SUM(Sayfa1!G482:G505)</f>
        <v>0</v>
      </c>
    </row>
    <row r="506" spans="1:9" x14ac:dyDescent="0.3">
      <c r="A506">
        <v>-118.5</v>
      </c>
      <c r="B506">
        <v>34</v>
      </c>
      <c r="C506">
        <v>2025</v>
      </c>
      <c r="D506">
        <v>1</v>
      </c>
      <c r="E506">
        <v>22</v>
      </c>
      <c r="F506">
        <f>Sayfa1!C506-273.15</f>
        <v>19.941796875000023</v>
      </c>
      <c r="G506">
        <v>5.1830472946166992</v>
      </c>
      <c r="H506">
        <f>SQRT(Sayfa1!D506^2+Sayfa1!E506^2)</f>
        <v>4.3682587371826314</v>
      </c>
      <c r="I506">
        <f>SUM(Sayfa1!G483:G506)</f>
        <v>0</v>
      </c>
    </row>
    <row r="507" spans="1:9" x14ac:dyDescent="0.3">
      <c r="A507">
        <v>-118.5</v>
      </c>
      <c r="B507">
        <v>34</v>
      </c>
      <c r="C507">
        <v>2025</v>
      </c>
      <c r="D507">
        <v>1</v>
      </c>
      <c r="E507">
        <v>22</v>
      </c>
      <c r="F507">
        <f>Sayfa1!C507-273.15</f>
        <v>19.547875976562523</v>
      </c>
      <c r="G507">
        <v>6.1285696029663086</v>
      </c>
      <c r="H507">
        <f>SQRT(Sayfa1!D507^2+Sayfa1!E507^2)</f>
        <v>4.5150662810449136</v>
      </c>
      <c r="I507">
        <f>SUM(Sayfa1!G484:G507)</f>
        <v>0</v>
      </c>
    </row>
    <row r="508" spans="1:9" x14ac:dyDescent="0.3">
      <c r="A508">
        <v>-118.5</v>
      </c>
      <c r="B508">
        <v>34</v>
      </c>
      <c r="C508">
        <v>2025</v>
      </c>
      <c r="D508">
        <v>1</v>
      </c>
      <c r="E508">
        <v>22</v>
      </c>
      <c r="F508">
        <f>Sayfa1!C508-273.15</f>
        <v>18.936791992187523</v>
      </c>
      <c r="G508">
        <v>6.9588966369628906</v>
      </c>
      <c r="H508">
        <f>SQRT(Sayfa1!D508^2+Sayfa1!E508^2)</f>
        <v>4.9400944235258732</v>
      </c>
      <c r="I508">
        <f>SUM(Sayfa1!G485:G508)</f>
        <v>0</v>
      </c>
    </row>
    <row r="509" spans="1:9" x14ac:dyDescent="0.3">
      <c r="A509">
        <v>-118.5</v>
      </c>
      <c r="B509">
        <v>34</v>
      </c>
      <c r="C509">
        <v>2025</v>
      </c>
      <c r="D509">
        <v>1</v>
      </c>
      <c r="E509">
        <v>22</v>
      </c>
      <c r="F509">
        <f>Sayfa1!C509-273.15</f>
        <v>18.425073242187523</v>
      </c>
      <c r="G509">
        <v>8.166529655456543</v>
      </c>
      <c r="H509">
        <f>SQRT(Sayfa1!D509^2+Sayfa1!E509^2)</f>
        <v>4.7949179975645464</v>
      </c>
      <c r="I509">
        <f>SUM(Sayfa1!G486:G509)</f>
        <v>0</v>
      </c>
    </row>
    <row r="510" spans="1:9" x14ac:dyDescent="0.3">
      <c r="A510">
        <v>-118.5</v>
      </c>
      <c r="B510">
        <v>34</v>
      </c>
      <c r="C510">
        <v>2025</v>
      </c>
      <c r="D510">
        <v>1</v>
      </c>
      <c r="E510">
        <v>22</v>
      </c>
      <c r="F510">
        <f>Sayfa1!C510-273.15</f>
        <v>18.064843750000023</v>
      </c>
      <c r="G510">
        <v>10.757552146911621</v>
      </c>
      <c r="H510">
        <f>SQRT(Sayfa1!D510^2+Sayfa1!E510^2)</f>
        <v>4.3720668836006737</v>
      </c>
      <c r="I510">
        <f>SUM(Sayfa1!G487:G510)</f>
        <v>0</v>
      </c>
    </row>
    <row r="511" spans="1:9" x14ac:dyDescent="0.3">
      <c r="A511">
        <v>-118.5</v>
      </c>
      <c r="B511">
        <v>34</v>
      </c>
      <c r="C511">
        <v>2025</v>
      </c>
      <c r="D511">
        <v>1</v>
      </c>
      <c r="E511">
        <v>22</v>
      </c>
      <c r="F511">
        <f>Sayfa1!C511-273.15</f>
        <v>17.941674804687523</v>
      </c>
      <c r="G511">
        <v>13.414299011230469</v>
      </c>
      <c r="H511">
        <f>SQRT(Sayfa1!D511^2+Sayfa1!E511^2)</f>
        <v>4.1586931993017737</v>
      </c>
      <c r="I511">
        <f>SUM(Sayfa1!G488:G511)</f>
        <v>0</v>
      </c>
    </row>
    <row r="512" spans="1:9" x14ac:dyDescent="0.3">
      <c r="A512">
        <v>-118.5</v>
      </c>
      <c r="B512">
        <v>34</v>
      </c>
      <c r="C512">
        <v>2025</v>
      </c>
      <c r="D512">
        <v>1</v>
      </c>
      <c r="E512">
        <v>22</v>
      </c>
      <c r="F512">
        <f>Sayfa1!C512-273.15</f>
        <v>17.952416992187523</v>
      </c>
      <c r="G512">
        <v>14.520672798156738</v>
      </c>
      <c r="H512">
        <f>SQRT(Sayfa1!D512^2+Sayfa1!E512^2)</f>
        <v>4.0900950877487734</v>
      </c>
      <c r="I512">
        <f>SUM(Sayfa1!G489:G512)</f>
        <v>0</v>
      </c>
    </row>
    <row r="513" spans="1:9" x14ac:dyDescent="0.3">
      <c r="A513">
        <v>-118.5</v>
      </c>
      <c r="B513">
        <v>34</v>
      </c>
      <c r="C513">
        <v>2025</v>
      </c>
      <c r="D513">
        <v>1</v>
      </c>
      <c r="E513">
        <v>22</v>
      </c>
      <c r="F513">
        <f>Sayfa1!C513-273.15</f>
        <v>18.005029296875023</v>
      </c>
      <c r="G513">
        <v>15.351298332214355</v>
      </c>
      <c r="H513">
        <f>SQRT(Sayfa1!D513^2+Sayfa1!E513^2)</f>
        <v>4.0643646408987077</v>
      </c>
      <c r="I513">
        <f>SUM(Sayfa1!G490:G513)</f>
        <v>0</v>
      </c>
    </row>
    <row r="514" spans="1:9" x14ac:dyDescent="0.3">
      <c r="A514">
        <v>-118.5</v>
      </c>
      <c r="B514">
        <v>34</v>
      </c>
      <c r="C514">
        <v>2025</v>
      </c>
      <c r="D514">
        <v>1</v>
      </c>
      <c r="E514">
        <v>22</v>
      </c>
      <c r="F514">
        <f>Sayfa1!C514-273.15</f>
        <v>18.054528808593773</v>
      </c>
      <c r="G514">
        <v>15.96555233001709</v>
      </c>
      <c r="H514">
        <f>SQRT(Sayfa1!D514^2+Sayfa1!E514^2)</f>
        <v>4.1596269378548278</v>
      </c>
      <c r="I514">
        <f>SUM(Sayfa1!G491:G514)</f>
        <v>0</v>
      </c>
    </row>
    <row r="515" spans="1:9" x14ac:dyDescent="0.3">
      <c r="A515">
        <v>-118.5</v>
      </c>
      <c r="B515">
        <v>34</v>
      </c>
      <c r="C515">
        <v>2025</v>
      </c>
      <c r="D515">
        <v>1</v>
      </c>
      <c r="E515">
        <v>22</v>
      </c>
      <c r="F515">
        <f>Sayfa1!C515-273.15</f>
        <v>18.006188964843773</v>
      </c>
      <c r="G515">
        <v>16.237588882446289</v>
      </c>
      <c r="H515">
        <f>SQRT(Sayfa1!D515^2+Sayfa1!E515^2)</f>
        <v>4.1567200016772317</v>
      </c>
      <c r="I515">
        <f>SUM(Sayfa1!G492:G515)</f>
        <v>0</v>
      </c>
    </row>
    <row r="516" spans="1:9" x14ac:dyDescent="0.3">
      <c r="A516">
        <v>-118.5</v>
      </c>
      <c r="B516">
        <v>34</v>
      </c>
      <c r="C516">
        <v>2025</v>
      </c>
      <c r="D516">
        <v>1</v>
      </c>
      <c r="E516">
        <v>22</v>
      </c>
      <c r="F516">
        <f>Sayfa1!C516-273.15</f>
        <v>18.318017578125023</v>
      </c>
      <c r="G516">
        <v>15.657689094543457</v>
      </c>
      <c r="H516">
        <f>SQRT(Sayfa1!D516^2+Sayfa1!E516^2)</f>
        <v>3.802905335585177</v>
      </c>
      <c r="I516">
        <f>SUM(Sayfa1!G493:G516)</f>
        <v>0</v>
      </c>
    </row>
    <row r="517" spans="1:9" x14ac:dyDescent="0.3">
      <c r="A517">
        <v>-118.5</v>
      </c>
      <c r="B517">
        <v>34</v>
      </c>
      <c r="C517">
        <v>2025</v>
      </c>
      <c r="D517">
        <v>1</v>
      </c>
      <c r="E517">
        <v>22</v>
      </c>
      <c r="F517">
        <f>Sayfa1!C517-273.15</f>
        <v>18.332177734375023</v>
      </c>
      <c r="G517">
        <v>16.226028442382813</v>
      </c>
      <c r="H517">
        <f>SQRT(Sayfa1!D517^2+Sayfa1!E517^2)</f>
        <v>3.8861746642626676</v>
      </c>
      <c r="I517">
        <f>SUM(Sayfa1!G494:G517)</f>
        <v>0</v>
      </c>
    </row>
    <row r="518" spans="1:9" x14ac:dyDescent="0.3">
      <c r="A518">
        <v>-118.5</v>
      </c>
      <c r="B518">
        <v>34</v>
      </c>
      <c r="C518">
        <v>2025</v>
      </c>
      <c r="D518">
        <v>1</v>
      </c>
      <c r="E518">
        <v>22</v>
      </c>
      <c r="F518">
        <f>Sayfa1!C518-273.15</f>
        <v>18.533715820312523</v>
      </c>
      <c r="G518">
        <v>16.433910369873047</v>
      </c>
      <c r="H518">
        <f>SQRT(Sayfa1!D518^2+Sayfa1!E518^2)</f>
        <v>3.8912693688692728</v>
      </c>
      <c r="I518">
        <f>SUM(Sayfa1!G495:G518)</f>
        <v>0</v>
      </c>
    </row>
    <row r="519" spans="1:9" x14ac:dyDescent="0.3">
      <c r="A519">
        <v>-118.5</v>
      </c>
      <c r="B519">
        <v>34</v>
      </c>
      <c r="C519">
        <v>2025</v>
      </c>
      <c r="D519">
        <v>1</v>
      </c>
      <c r="E519">
        <v>22</v>
      </c>
      <c r="F519">
        <f>Sayfa1!C519-273.15</f>
        <v>18.604028320312523</v>
      </c>
      <c r="G519">
        <v>16.606494903564453</v>
      </c>
      <c r="H519">
        <f>SQRT(Sayfa1!D519^2+Sayfa1!E519^2)</f>
        <v>3.7593379051425337</v>
      </c>
      <c r="I519">
        <f>SUM(Sayfa1!G496:G519)</f>
        <v>0</v>
      </c>
    </row>
    <row r="520" spans="1:9" x14ac:dyDescent="0.3">
      <c r="A520">
        <v>-118.5</v>
      </c>
      <c r="B520">
        <v>34</v>
      </c>
      <c r="C520">
        <v>2025</v>
      </c>
      <c r="D520">
        <v>1</v>
      </c>
      <c r="E520">
        <v>22</v>
      </c>
      <c r="F520">
        <f>Sayfa1!C520-273.15</f>
        <v>18.527612304687523</v>
      </c>
      <c r="G520">
        <v>17.064468383789063</v>
      </c>
      <c r="H520">
        <f>SQRT(Sayfa1!D520^2+Sayfa1!E520^2)</f>
        <v>3.6848172700110804</v>
      </c>
      <c r="I520">
        <f>SUM(Sayfa1!G497:G520)</f>
        <v>0</v>
      </c>
    </row>
    <row r="521" spans="1:9" x14ac:dyDescent="0.3">
      <c r="A521">
        <v>-118.5</v>
      </c>
      <c r="B521">
        <v>34</v>
      </c>
      <c r="C521">
        <v>2025</v>
      </c>
      <c r="D521">
        <v>1</v>
      </c>
      <c r="E521">
        <v>22</v>
      </c>
      <c r="F521">
        <f>Sayfa1!C521-273.15</f>
        <v>18.331445312500023</v>
      </c>
      <c r="G521">
        <v>17.7205810546875</v>
      </c>
      <c r="H521">
        <f>SQRT(Sayfa1!D521^2+Sayfa1!E521^2)</f>
        <v>3.6315636000620497</v>
      </c>
      <c r="I521">
        <f>SUM(Sayfa1!G498:G521)</f>
        <v>0</v>
      </c>
    </row>
    <row r="522" spans="1:9" x14ac:dyDescent="0.3">
      <c r="A522">
        <v>-118.5</v>
      </c>
      <c r="B522">
        <v>34</v>
      </c>
      <c r="C522">
        <v>2025</v>
      </c>
      <c r="D522">
        <v>1</v>
      </c>
      <c r="E522">
        <v>22</v>
      </c>
      <c r="F522">
        <f>Sayfa1!C522-273.15</f>
        <v>18.193322753906273</v>
      </c>
      <c r="G522">
        <v>17.536258697509766</v>
      </c>
      <c r="H522">
        <f>SQRT(Sayfa1!D522^2+Sayfa1!E522^2)</f>
        <v>3.5418501094283901</v>
      </c>
      <c r="I522">
        <f>SUM(Sayfa1!G499:G522)</f>
        <v>0</v>
      </c>
    </row>
    <row r="523" spans="1:9" x14ac:dyDescent="0.3">
      <c r="A523">
        <v>-118.5</v>
      </c>
      <c r="B523">
        <v>34</v>
      </c>
      <c r="C523">
        <v>2025</v>
      </c>
      <c r="D523">
        <v>1</v>
      </c>
      <c r="E523">
        <v>22</v>
      </c>
      <c r="F523">
        <f>Sayfa1!C523-273.15</f>
        <v>18.333398437500023</v>
      </c>
      <c r="G523">
        <v>15.158977508544922</v>
      </c>
      <c r="H523">
        <f>SQRT(Sayfa1!D523^2+Sayfa1!E523^2)</f>
        <v>3.6216878975809781</v>
      </c>
      <c r="I523">
        <f>SUM(Sayfa1!G500:G523)</f>
        <v>0</v>
      </c>
    </row>
    <row r="524" spans="1:9" x14ac:dyDescent="0.3">
      <c r="A524">
        <v>-118.5</v>
      </c>
      <c r="B524">
        <v>34</v>
      </c>
      <c r="C524">
        <v>2025</v>
      </c>
      <c r="D524">
        <v>1</v>
      </c>
      <c r="E524">
        <v>22</v>
      </c>
      <c r="F524">
        <f>Sayfa1!C524-273.15</f>
        <v>18.600671386718773</v>
      </c>
      <c r="G524">
        <v>12.285477638244629</v>
      </c>
      <c r="H524">
        <f>SQRT(Sayfa1!D524^2+Sayfa1!E524^2)</f>
        <v>3.8348117097314662</v>
      </c>
      <c r="I524">
        <f>SUM(Sayfa1!G501:G524)</f>
        <v>0</v>
      </c>
    </row>
    <row r="525" spans="1:9" x14ac:dyDescent="0.3">
      <c r="A525">
        <v>-118.5</v>
      </c>
      <c r="B525">
        <v>34</v>
      </c>
      <c r="C525">
        <v>2025</v>
      </c>
      <c r="D525">
        <v>1</v>
      </c>
      <c r="E525">
        <v>22</v>
      </c>
      <c r="F525">
        <f>Sayfa1!C525-273.15</f>
        <v>19.805810546875023</v>
      </c>
      <c r="G525">
        <v>8.8253288269042969</v>
      </c>
      <c r="H525">
        <f>SQRT(Sayfa1!D525^2+Sayfa1!E525^2)</f>
        <v>3.9331747242236701</v>
      </c>
      <c r="I525">
        <f>SUM(Sayfa1!G502:G525)</f>
        <v>0</v>
      </c>
    </row>
    <row r="526" spans="1:9" x14ac:dyDescent="0.3">
      <c r="A526">
        <v>-118.5</v>
      </c>
      <c r="B526">
        <v>34</v>
      </c>
      <c r="C526">
        <v>2025</v>
      </c>
      <c r="D526">
        <v>1</v>
      </c>
      <c r="E526">
        <v>22</v>
      </c>
      <c r="F526">
        <f>Sayfa1!C526-273.15</f>
        <v>21.918054199218773</v>
      </c>
      <c r="G526">
        <v>6.8035717010498047</v>
      </c>
      <c r="H526">
        <f>SQRT(Sayfa1!D526^2+Sayfa1!E526^2)</f>
        <v>4.165608335746585</v>
      </c>
      <c r="I526">
        <f>SUM(Sayfa1!G503:G526)</f>
        <v>0</v>
      </c>
    </row>
    <row r="527" spans="1:9" x14ac:dyDescent="0.3">
      <c r="A527">
        <v>-118.5</v>
      </c>
      <c r="B527">
        <v>34</v>
      </c>
      <c r="C527">
        <v>2025</v>
      </c>
      <c r="D527">
        <v>1</v>
      </c>
      <c r="E527">
        <v>22</v>
      </c>
      <c r="F527">
        <f>Sayfa1!C527-273.15</f>
        <v>23.431665039062523</v>
      </c>
      <c r="G527">
        <v>4.9275913238525391</v>
      </c>
      <c r="H527">
        <f>SQRT(Sayfa1!D527^2+Sayfa1!E527^2)</f>
        <v>4.0398122022068659</v>
      </c>
      <c r="I527">
        <f>SUM(Sayfa1!G504:G527)</f>
        <v>0</v>
      </c>
    </row>
    <row r="528" spans="1:9" x14ac:dyDescent="0.3">
      <c r="A528">
        <v>-118.5</v>
      </c>
      <c r="B528">
        <v>34</v>
      </c>
      <c r="C528">
        <v>2025</v>
      </c>
      <c r="D528">
        <v>1</v>
      </c>
      <c r="E528">
        <v>22</v>
      </c>
      <c r="F528">
        <f>Sayfa1!C528-273.15</f>
        <v>24.371362304687523</v>
      </c>
      <c r="G528">
        <v>3.9248685836791992</v>
      </c>
      <c r="H528">
        <f>SQRT(Sayfa1!D528^2+Sayfa1!E528^2)</f>
        <v>2.3934464747302591</v>
      </c>
      <c r="I528">
        <f>SUM(Sayfa1!G505:G528)</f>
        <v>0</v>
      </c>
    </row>
    <row r="529" spans="1:9" x14ac:dyDescent="0.3">
      <c r="A529">
        <v>-118.5</v>
      </c>
      <c r="B529">
        <v>34</v>
      </c>
      <c r="C529">
        <v>2025</v>
      </c>
      <c r="D529">
        <v>1</v>
      </c>
      <c r="E529">
        <v>22</v>
      </c>
      <c r="F529">
        <f>Sayfa1!C529-273.15</f>
        <v>24.769189453125023</v>
      </c>
      <c r="G529">
        <v>3.7320947647094727</v>
      </c>
      <c r="H529">
        <f>SQRT(Sayfa1!D529^2+Sayfa1!E529^2)</f>
        <v>2.45391962406931</v>
      </c>
      <c r="I529">
        <f>SUM(Sayfa1!G506:G529)</f>
        <v>0</v>
      </c>
    </row>
    <row r="530" spans="1:9" x14ac:dyDescent="0.3">
      <c r="A530">
        <v>-118.5</v>
      </c>
      <c r="B530">
        <v>34</v>
      </c>
      <c r="C530">
        <v>2025</v>
      </c>
      <c r="D530">
        <v>1</v>
      </c>
      <c r="E530">
        <v>23</v>
      </c>
      <c r="F530">
        <f>Sayfa1!C530-273.15</f>
        <v>24.976708984375023</v>
      </c>
      <c r="G530">
        <v>4.4263505935668945</v>
      </c>
      <c r="H530">
        <f>SQRT(Sayfa1!D530^2+Sayfa1!E530^2)</f>
        <v>2.7845031508318918</v>
      </c>
      <c r="I530">
        <f>SUM(Sayfa1!G507:G530)</f>
        <v>0</v>
      </c>
    </row>
    <row r="531" spans="1:9" x14ac:dyDescent="0.3">
      <c r="A531">
        <v>-118.5</v>
      </c>
      <c r="B531">
        <v>34</v>
      </c>
      <c r="C531">
        <v>2025</v>
      </c>
      <c r="D531">
        <v>1</v>
      </c>
      <c r="E531">
        <v>23</v>
      </c>
      <c r="F531">
        <f>Sayfa1!C531-273.15</f>
        <v>24.852929687500023</v>
      </c>
      <c r="G531">
        <v>5.2299509048461914</v>
      </c>
      <c r="H531">
        <f>SQRT(Sayfa1!D531^2+Sayfa1!E531^2)</f>
        <v>3.1047870810394205</v>
      </c>
      <c r="I531">
        <f>SUM(Sayfa1!G508:G531)</f>
        <v>0</v>
      </c>
    </row>
    <row r="532" spans="1:9" x14ac:dyDescent="0.3">
      <c r="A532">
        <v>-118.5</v>
      </c>
      <c r="B532">
        <v>34</v>
      </c>
      <c r="C532">
        <v>2025</v>
      </c>
      <c r="D532">
        <v>1</v>
      </c>
      <c r="E532">
        <v>23</v>
      </c>
      <c r="F532">
        <f>Sayfa1!C532-273.15</f>
        <v>24.447045898437523</v>
      </c>
      <c r="G532">
        <v>5.6532344818115234</v>
      </c>
      <c r="H532">
        <f>SQRT(Sayfa1!D532^2+Sayfa1!E532^2)</f>
        <v>3.7772206229805811</v>
      </c>
      <c r="I532">
        <f>SUM(Sayfa1!G509:G532)</f>
        <v>0</v>
      </c>
    </row>
    <row r="533" spans="1:9" x14ac:dyDescent="0.3">
      <c r="A533">
        <v>-118.5</v>
      </c>
      <c r="B533">
        <v>34</v>
      </c>
      <c r="C533">
        <v>2025</v>
      </c>
      <c r="D533">
        <v>1</v>
      </c>
      <c r="E533">
        <v>23</v>
      </c>
      <c r="F533">
        <f>Sayfa1!C533-273.15</f>
        <v>23.928735351562523</v>
      </c>
      <c r="G533">
        <v>5.9740753173828125</v>
      </c>
      <c r="H533">
        <f>SQRT(Sayfa1!D533^2+Sayfa1!E533^2)</f>
        <v>4.6478408946775165</v>
      </c>
      <c r="I533">
        <f>SUM(Sayfa1!G510:G533)</f>
        <v>0</v>
      </c>
    </row>
    <row r="534" spans="1:9" x14ac:dyDescent="0.3">
      <c r="A534">
        <v>-118.5</v>
      </c>
      <c r="B534">
        <v>34</v>
      </c>
      <c r="C534">
        <v>2025</v>
      </c>
      <c r="D534">
        <v>1</v>
      </c>
      <c r="E534">
        <v>23</v>
      </c>
      <c r="F534">
        <f>Sayfa1!C534-273.15</f>
        <v>23.576867675781273</v>
      </c>
      <c r="G534">
        <v>6.8953847885131836</v>
      </c>
      <c r="H534">
        <f>SQRT(Sayfa1!D534^2+Sayfa1!E534^2)</f>
        <v>4.7957820157024544</v>
      </c>
      <c r="I534">
        <f>SUM(Sayfa1!G511:G534)</f>
        <v>0</v>
      </c>
    </row>
    <row r="535" spans="1:9" x14ac:dyDescent="0.3">
      <c r="A535">
        <v>-118.5</v>
      </c>
      <c r="B535">
        <v>34</v>
      </c>
      <c r="C535">
        <v>2025</v>
      </c>
      <c r="D535">
        <v>1</v>
      </c>
      <c r="E535">
        <v>23</v>
      </c>
      <c r="F535">
        <f>Sayfa1!C535-273.15</f>
        <v>23.398400878906273</v>
      </c>
      <c r="G535">
        <v>9.001347541809082</v>
      </c>
      <c r="H535">
        <f>SQRT(Sayfa1!D535^2+Sayfa1!E535^2)</f>
        <v>4.6252996483152859</v>
      </c>
      <c r="I535">
        <f>SUM(Sayfa1!G512:G535)</f>
        <v>0</v>
      </c>
    </row>
    <row r="536" spans="1:9" x14ac:dyDescent="0.3">
      <c r="A536">
        <v>-118.5</v>
      </c>
      <c r="B536">
        <v>34</v>
      </c>
      <c r="C536">
        <v>2025</v>
      </c>
      <c r="D536">
        <v>1</v>
      </c>
      <c r="E536">
        <v>23</v>
      </c>
      <c r="F536">
        <f>Sayfa1!C536-273.15</f>
        <v>23.190209960937523</v>
      </c>
      <c r="G536">
        <v>11.730152130126953</v>
      </c>
      <c r="H536">
        <f>SQRT(Sayfa1!D536^2+Sayfa1!E536^2)</f>
        <v>4.4802108689810938</v>
      </c>
      <c r="I536">
        <f>SUM(Sayfa1!G513:G536)</f>
        <v>0</v>
      </c>
    </row>
    <row r="537" spans="1:9" x14ac:dyDescent="0.3">
      <c r="A537">
        <v>-118.5</v>
      </c>
      <c r="B537">
        <v>34</v>
      </c>
      <c r="C537">
        <v>2025</v>
      </c>
      <c r="D537">
        <v>1</v>
      </c>
      <c r="E537">
        <v>23</v>
      </c>
      <c r="F537">
        <f>Sayfa1!C537-273.15</f>
        <v>22.954431152343773</v>
      </c>
      <c r="G537">
        <v>13.514387130737305</v>
      </c>
      <c r="H537">
        <f>SQRT(Sayfa1!D537^2+Sayfa1!E537^2)</f>
        <v>4.4738841779632308</v>
      </c>
      <c r="I537">
        <f>SUM(Sayfa1!G514:G537)</f>
        <v>0</v>
      </c>
    </row>
    <row r="538" spans="1:9" x14ac:dyDescent="0.3">
      <c r="A538">
        <v>-118.5</v>
      </c>
      <c r="B538">
        <v>34</v>
      </c>
      <c r="C538">
        <v>2025</v>
      </c>
      <c r="D538">
        <v>1</v>
      </c>
      <c r="E538">
        <v>23</v>
      </c>
      <c r="F538">
        <f>Sayfa1!C538-273.15</f>
        <v>22.659143066406273</v>
      </c>
      <c r="G538">
        <v>14.059979438781738</v>
      </c>
      <c r="H538">
        <f>SQRT(Sayfa1!D538^2+Sayfa1!E538^2)</f>
        <v>4.8421049240288614</v>
      </c>
      <c r="I538">
        <f>SUM(Sayfa1!G515:G538)</f>
        <v>0</v>
      </c>
    </row>
    <row r="539" spans="1:9" x14ac:dyDescent="0.3">
      <c r="A539">
        <v>-118.5</v>
      </c>
      <c r="B539">
        <v>34</v>
      </c>
      <c r="C539">
        <v>2025</v>
      </c>
      <c r="D539">
        <v>1</v>
      </c>
      <c r="E539">
        <v>23</v>
      </c>
      <c r="F539">
        <f>Sayfa1!C539-273.15</f>
        <v>22.306787109375023</v>
      </c>
      <c r="G539">
        <v>13.700213432312012</v>
      </c>
      <c r="H539">
        <f>SQRT(Sayfa1!D539^2+Sayfa1!E539^2)</f>
        <v>4.9036324353879364</v>
      </c>
      <c r="I539">
        <f>SUM(Sayfa1!G516:G539)</f>
        <v>0</v>
      </c>
    </row>
    <row r="540" spans="1:9" x14ac:dyDescent="0.3">
      <c r="A540">
        <v>-118.5</v>
      </c>
      <c r="B540">
        <v>34</v>
      </c>
      <c r="C540">
        <v>2025</v>
      </c>
      <c r="D540">
        <v>1</v>
      </c>
      <c r="E540">
        <v>23</v>
      </c>
      <c r="F540">
        <f>Sayfa1!C540-273.15</f>
        <v>22.330041503906273</v>
      </c>
      <c r="G540">
        <v>12.691448211669922</v>
      </c>
      <c r="H540">
        <f>SQRT(Sayfa1!D540^2+Sayfa1!E540^2)</f>
        <v>3.8158413263069262</v>
      </c>
      <c r="I540">
        <f>SUM(Sayfa1!G517:G540)</f>
        <v>0</v>
      </c>
    </row>
    <row r="541" spans="1:9" x14ac:dyDescent="0.3">
      <c r="A541">
        <v>-118.5</v>
      </c>
      <c r="B541">
        <v>34</v>
      </c>
      <c r="C541">
        <v>2025</v>
      </c>
      <c r="D541">
        <v>1</v>
      </c>
      <c r="E541">
        <v>23</v>
      </c>
      <c r="F541">
        <f>Sayfa1!C541-273.15</f>
        <v>21.716882324218773</v>
      </c>
      <c r="G541">
        <v>13.151874542236328</v>
      </c>
      <c r="H541">
        <f>SQRT(Sayfa1!D541^2+Sayfa1!E541^2)</f>
        <v>4.213691398616132</v>
      </c>
      <c r="I541">
        <f>SUM(Sayfa1!G518:G541)</f>
        <v>0</v>
      </c>
    </row>
    <row r="542" spans="1:9" x14ac:dyDescent="0.3">
      <c r="A542">
        <v>-118.5</v>
      </c>
      <c r="B542">
        <v>34</v>
      </c>
      <c r="C542">
        <v>2025</v>
      </c>
      <c r="D542">
        <v>1</v>
      </c>
      <c r="E542">
        <v>23</v>
      </c>
      <c r="F542">
        <f>Sayfa1!C542-273.15</f>
        <v>21.291284179687523</v>
      </c>
      <c r="G542">
        <v>12.677750587463379</v>
      </c>
      <c r="H542">
        <f>SQRT(Sayfa1!D542^2+Sayfa1!E542^2)</f>
        <v>4.1389167588811064</v>
      </c>
      <c r="I542">
        <f>SUM(Sayfa1!G519:G542)</f>
        <v>0</v>
      </c>
    </row>
    <row r="543" spans="1:9" x14ac:dyDescent="0.3">
      <c r="A543">
        <v>-118.5</v>
      </c>
      <c r="B543">
        <v>34</v>
      </c>
      <c r="C543">
        <v>2025</v>
      </c>
      <c r="D543">
        <v>1</v>
      </c>
      <c r="E543">
        <v>23</v>
      </c>
      <c r="F543">
        <f>Sayfa1!C543-273.15</f>
        <v>21.180810546875023</v>
      </c>
      <c r="G543">
        <v>12.631206512451172</v>
      </c>
      <c r="H543">
        <f>SQRT(Sayfa1!D543^2+Sayfa1!E543^2)</f>
        <v>3.7912103311164227</v>
      </c>
      <c r="I543">
        <f>SUM(Sayfa1!G520:G543)</f>
        <v>0</v>
      </c>
    </row>
    <row r="544" spans="1:9" x14ac:dyDescent="0.3">
      <c r="A544">
        <v>-118.5</v>
      </c>
      <c r="B544">
        <v>34</v>
      </c>
      <c r="C544">
        <v>2025</v>
      </c>
      <c r="D544">
        <v>1</v>
      </c>
      <c r="E544">
        <v>23</v>
      </c>
      <c r="F544">
        <f>Sayfa1!C544-273.15</f>
        <v>21.055688476562523</v>
      </c>
      <c r="G544">
        <v>12.924966812133789</v>
      </c>
      <c r="H544">
        <f>SQRT(Sayfa1!D544^2+Sayfa1!E544^2)</f>
        <v>3.5187063124276516</v>
      </c>
      <c r="I544">
        <f>SUM(Sayfa1!G521:G544)</f>
        <v>0</v>
      </c>
    </row>
    <row r="545" spans="1:9" x14ac:dyDescent="0.3">
      <c r="A545">
        <v>-118.5</v>
      </c>
      <c r="B545">
        <v>34</v>
      </c>
      <c r="C545">
        <v>2025</v>
      </c>
      <c r="D545">
        <v>1</v>
      </c>
      <c r="E545">
        <v>23</v>
      </c>
      <c r="F545">
        <f>Sayfa1!C545-273.15</f>
        <v>20.786523437500023</v>
      </c>
      <c r="G545">
        <v>13.13927173614502</v>
      </c>
      <c r="H545">
        <f>SQRT(Sayfa1!D545^2+Sayfa1!E545^2)</f>
        <v>3.837678401147413</v>
      </c>
      <c r="I545">
        <f>SUM(Sayfa1!G522:G545)</f>
        <v>0</v>
      </c>
    </row>
    <row r="546" spans="1:9" x14ac:dyDescent="0.3">
      <c r="A546">
        <v>-118.5</v>
      </c>
      <c r="B546">
        <v>34</v>
      </c>
      <c r="C546">
        <v>2025</v>
      </c>
      <c r="D546">
        <v>1</v>
      </c>
      <c r="E546">
        <v>23</v>
      </c>
      <c r="F546">
        <f>Sayfa1!C546-273.15</f>
        <v>20.353051757812523</v>
      </c>
      <c r="G546">
        <v>11.755974769592285</v>
      </c>
      <c r="H546">
        <f>SQRT(Sayfa1!D546^2+Sayfa1!E546^2)</f>
        <v>3.9268748796729911</v>
      </c>
      <c r="I546">
        <f>SUM(Sayfa1!G523:G546)</f>
        <v>0</v>
      </c>
    </row>
    <row r="547" spans="1:9" x14ac:dyDescent="0.3">
      <c r="A547">
        <v>-118.5</v>
      </c>
      <c r="B547">
        <v>34</v>
      </c>
      <c r="C547">
        <v>2025</v>
      </c>
      <c r="D547">
        <v>1</v>
      </c>
      <c r="E547">
        <v>23</v>
      </c>
      <c r="F547">
        <f>Sayfa1!C547-273.15</f>
        <v>19.903833007812523</v>
      </c>
      <c r="G547">
        <v>8.6340408325195313</v>
      </c>
      <c r="H547">
        <f>SQRT(Sayfa1!D547^2+Sayfa1!E547^2)</f>
        <v>3.6102864222741746</v>
      </c>
      <c r="I547">
        <f>SUM(Sayfa1!G524:G547)</f>
        <v>0</v>
      </c>
    </row>
    <row r="548" spans="1:9" x14ac:dyDescent="0.3">
      <c r="A548">
        <v>-118.5</v>
      </c>
      <c r="B548">
        <v>34</v>
      </c>
      <c r="C548">
        <v>2025</v>
      </c>
      <c r="D548">
        <v>1</v>
      </c>
      <c r="E548">
        <v>23</v>
      </c>
      <c r="F548">
        <f>Sayfa1!C548-273.15</f>
        <v>19.911340332031273</v>
      </c>
      <c r="G548">
        <v>5.6192703247070313</v>
      </c>
      <c r="H548">
        <f>SQRT(Sayfa1!D548^2+Sayfa1!E548^2)</f>
        <v>3.7590430006803972</v>
      </c>
      <c r="I548">
        <f>SUM(Sayfa1!G525:G548)</f>
        <v>0</v>
      </c>
    </row>
    <row r="549" spans="1:9" x14ac:dyDescent="0.3">
      <c r="A549">
        <v>-118.5</v>
      </c>
      <c r="B549">
        <v>34</v>
      </c>
      <c r="C549">
        <v>2025</v>
      </c>
      <c r="D549">
        <v>1</v>
      </c>
      <c r="E549">
        <v>23</v>
      </c>
      <c r="F549">
        <f>Sayfa1!C549-273.15</f>
        <v>20.980859375000023</v>
      </c>
      <c r="G549">
        <v>4.6163864135742188</v>
      </c>
      <c r="H549">
        <f>SQRT(Sayfa1!D549^2+Sayfa1!E549^2)</f>
        <v>4.1334086641505445</v>
      </c>
      <c r="I549">
        <f>SUM(Sayfa1!G526:G549)</f>
        <v>0</v>
      </c>
    </row>
    <row r="550" spans="1:9" x14ac:dyDescent="0.3">
      <c r="A550">
        <v>-118.5</v>
      </c>
      <c r="B550">
        <v>34</v>
      </c>
      <c r="C550">
        <v>2025</v>
      </c>
      <c r="D550">
        <v>1</v>
      </c>
      <c r="E550">
        <v>23</v>
      </c>
      <c r="F550">
        <f>Sayfa1!C550-273.15</f>
        <v>22.398583984375023</v>
      </c>
      <c r="G550">
        <v>4.0864477157592773</v>
      </c>
      <c r="H550">
        <f>SQRT(Sayfa1!D550^2+Sayfa1!E550^2)</f>
        <v>3.1384595542935654</v>
      </c>
      <c r="I550">
        <f>SUM(Sayfa1!G527:G550)</f>
        <v>0</v>
      </c>
    </row>
    <row r="551" spans="1:9" x14ac:dyDescent="0.3">
      <c r="A551">
        <v>-118.5</v>
      </c>
      <c r="B551">
        <v>34</v>
      </c>
      <c r="C551">
        <v>2025</v>
      </c>
      <c r="D551">
        <v>1</v>
      </c>
      <c r="E551">
        <v>23</v>
      </c>
      <c r="F551">
        <f>Sayfa1!C551-273.15</f>
        <v>23.279931640625023</v>
      </c>
      <c r="G551">
        <v>3.591557502746582</v>
      </c>
      <c r="H551">
        <f>SQRT(Sayfa1!D551^2+Sayfa1!E551^2)</f>
        <v>2.3141019084384462</v>
      </c>
      <c r="I551">
        <f>SUM(Sayfa1!G528:G551)</f>
        <v>0</v>
      </c>
    </row>
    <row r="552" spans="1:9" x14ac:dyDescent="0.3">
      <c r="A552">
        <v>-118.5</v>
      </c>
      <c r="B552">
        <v>34</v>
      </c>
      <c r="C552">
        <v>2025</v>
      </c>
      <c r="D552">
        <v>1</v>
      </c>
      <c r="E552">
        <v>23</v>
      </c>
      <c r="F552">
        <f>Sayfa1!C552-273.15</f>
        <v>23.731103515625023</v>
      </c>
      <c r="G552">
        <v>3.8499698638916016</v>
      </c>
      <c r="H552">
        <f>SQRT(Sayfa1!D552^2+Sayfa1!E552^2)</f>
        <v>1.5729123007355079</v>
      </c>
      <c r="I552">
        <f>SUM(Sayfa1!G529:G552)</f>
        <v>0</v>
      </c>
    </row>
    <row r="553" spans="1:9" x14ac:dyDescent="0.3">
      <c r="A553">
        <v>-118.5</v>
      </c>
      <c r="B553">
        <v>34</v>
      </c>
      <c r="C553">
        <v>2025</v>
      </c>
      <c r="D553">
        <v>1</v>
      </c>
      <c r="E553">
        <v>23</v>
      </c>
      <c r="F553">
        <f>Sayfa1!C553-273.15</f>
        <v>23.914697265625023</v>
      </c>
      <c r="G553">
        <v>3.9644250869750977</v>
      </c>
      <c r="H553">
        <f>SQRT(Sayfa1!D553^2+Sayfa1!E553^2)</f>
        <v>2.2567621879400028</v>
      </c>
      <c r="I553">
        <f>SUM(Sayfa1!G530:G553)</f>
        <v>0</v>
      </c>
    </row>
    <row r="554" spans="1:9" x14ac:dyDescent="0.3">
      <c r="A554">
        <v>-118.5</v>
      </c>
      <c r="B554">
        <v>34</v>
      </c>
      <c r="C554">
        <v>2025</v>
      </c>
      <c r="D554">
        <v>1</v>
      </c>
      <c r="E554">
        <v>24</v>
      </c>
      <c r="F554">
        <f>Sayfa1!C554-273.15</f>
        <v>23.926904296875023</v>
      </c>
      <c r="G554">
        <v>4.2558002471923828</v>
      </c>
      <c r="H554">
        <f>SQRT(Sayfa1!D554^2+Sayfa1!E554^2)</f>
        <v>2.177588659060075</v>
      </c>
      <c r="I554">
        <f>SUM(Sayfa1!G531:G554)</f>
        <v>0</v>
      </c>
    </row>
    <row r="555" spans="1:9" x14ac:dyDescent="0.3">
      <c r="A555">
        <v>-118.5</v>
      </c>
      <c r="B555">
        <v>34</v>
      </c>
      <c r="C555">
        <v>2025</v>
      </c>
      <c r="D555">
        <v>1</v>
      </c>
      <c r="E555">
        <v>24</v>
      </c>
      <c r="F555">
        <f>Sayfa1!C555-273.15</f>
        <v>23.399072265625023</v>
      </c>
      <c r="G555">
        <v>4.904815673828125</v>
      </c>
      <c r="H555">
        <f>SQRT(Sayfa1!D555^2+Sayfa1!E555^2)</f>
        <v>3.6309578074501654</v>
      </c>
      <c r="I555">
        <f>SUM(Sayfa1!G532:G555)</f>
        <v>0</v>
      </c>
    </row>
    <row r="556" spans="1:9" x14ac:dyDescent="0.3">
      <c r="A556">
        <v>-118.5</v>
      </c>
      <c r="B556">
        <v>34</v>
      </c>
      <c r="C556">
        <v>2025</v>
      </c>
      <c r="D556">
        <v>1</v>
      </c>
      <c r="E556">
        <v>24</v>
      </c>
      <c r="F556">
        <f>Sayfa1!C556-273.15</f>
        <v>22.364282226562523</v>
      </c>
      <c r="G556">
        <v>5.2314453125</v>
      </c>
      <c r="H556">
        <f>SQRT(Sayfa1!D556^2+Sayfa1!E556^2)</f>
        <v>5.0964791079047203</v>
      </c>
      <c r="I556">
        <f>SUM(Sayfa1!G533:G556)</f>
        <v>0</v>
      </c>
    </row>
    <row r="557" spans="1:9" x14ac:dyDescent="0.3">
      <c r="A557">
        <v>-118.5</v>
      </c>
      <c r="B557">
        <v>34</v>
      </c>
      <c r="C557">
        <v>2025</v>
      </c>
      <c r="D557">
        <v>1</v>
      </c>
      <c r="E557">
        <v>24</v>
      </c>
      <c r="F557">
        <f>Sayfa1!C557-273.15</f>
        <v>21.381005859375023</v>
      </c>
      <c r="G557">
        <v>5.7257442474365234</v>
      </c>
      <c r="H557">
        <f>SQRT(Sayfa1!D557^2+Sayfa1!E557^2)</f>
        <v>5.7389196472029571</v>
      </c>
      <c r="I557">
        <f>SUM(Sayfa1!G534:G557)</f>
        <v>0</v>
      </c>
    </row>
    <row r="558" spans="1:9" x14ac:dyDescent="0.3">
      <c r="A558">
        <v>-118.5</v>
      </c>
      <c r="B558">
        <v>34</v>
      </c>
      <c r="C558">
        <v>2025</v>
      </c>
      <c r="D558">
        <v>1</v>
      </c>
      <c r="E558">
        <v>24</v>
      </c>
      <c r="F558">
        <f>Sayfa1!C558-273.15</f>
        <v>20.698632812500023</v>
      </c>
      <c r="G558">
        <v>6.9426059722900391</v>
      </c>
      <c r="H558">
        <f>SQRT(Sayfa1!D558^2+Sayfa1!E558^2)</f>
        <v>5.5176916538011307</v>
      </c>
      <c r="I558">
        <f>SUM(Sayfa1!G535:G558)</f>
        <v>0</v>
      </c>
    </row>
    <row r="559" spans="1:9" x14ac:dyDescent="0.3">
      <c r="A559">
        <v>-118.5</v>
      </c>
      <c r="B559">
        <v>34</v>
      </c>
      <c r="C559">
        <v>2025</v>
      </c>
      <c r="D559">
        <v>1</v>
      </c>
      <c r="E559">
        <v>24</v>
      </c>
      <c r="F559">
        <f>Sayfa1!C559-273.15</f>
        <v>20.122827148437523</v>
      </c>
      <c r="G559">
        <v>8.8095302581787109</v>
      </c>
      <c r="H559">
        <f>SQRT(Sayfa1!D559^2+Sayfa1!E559^2)</f>
        <v>4.9280186143131486</v>
      </c>
      <c r="I559">
        <f>SUM(Sayfa1!G536:G559)</f>
        <v>0</v>
      </c>
    </row>
    <row r="560" spans="1:9" x14ac:dyDescent="0.3">
      <c r="A560">
        <v>-118.5</v>
      </c>
      <c r="B560">
        <v>34</v>
      </c>
      <c r="C560">
        <v>2025</v>
      </c>
      <c r="D560">
        <v>1</v>
      </c>
      <c r="E560">
        <v>24</v>
      </c>
      <c r="F560">
        <f>Sayfa1!C560-273.15</f>
        <v>19.681542968750023</v>
      </c>
      <c r="G560">
        <v>10.529897689819336</v>
      </c>
      <c r="H560">
        <f>SQRT(Sayfa1!D560^2+Sayfa1!E560^2)</f>
        <v>4.3679874947559689</v>
      </c>
      <c r="I560">
        <f>SUM(Sayfa1!G537:G560)</f>
        <v>0</v>
      </c>
    </row>
    <row r="561" spans="1:9" x14ac:dyDescent="0.3">
      <c r="A561">
        <v>-118.5</v>
      </c>
      <c r="B561">
        <v>34</v>
      </c>
      <c r="C561">
        <v>2025</v>
      </c>
      <c r="D561">
        <v>1</v>
      </c>
      <c r="E561">
        <v>24</v>
      </c>
      <c r="F561">
        <f>Sayfa1!C561-273.15</f>
        <v>19.282861328125023</v>
      </c>
      <c r="G561">
        <v>12.081212997436523</v>
      </c>
      <c r="H561">
        <f>SQRT(Sayfa1!D561^2+Sayfa1!E561^2)</f>
        <v>4.1748875448582066</v>
      </c>
      <c r="I561">
        <f>SUM(Sayfa1!G538:G561)</f>
        <v>0</v>
      </c>
    </row>
    <row r="562" spans="1:9" x14ac:dyDescent="0.3">
      <c r="A562">
        <v>-118.5</v>
      </c>
      <c r="B562">
        <v>34</v>
      </c>
      <c r="C562">
        <v>2025</v>
      </c>
      <c r="D562">
        <v>1</v>
      </c>
      <c r="E562">
        <v>24</v>
      </c>
      <c r="F562">
        <f>Sayfa1!C562-273.15</f>
        <v>18.927148437500023</v>
      </c>
      <c r="G562">
        <v>13.20328426361084</v>
      </c>
      <c r="H562">
        <f>SQRT(Sayfa1!D562^2+Sayfa1!E562^2)</f>
        <v>4.1071391724016166</v>
      </c>
      <c r="I562">
        <f>SUM(Sayfa1!G539:G562)</f>
        <v>0</v>
      </c>
    </row>
    <row r="563" spans="1:9" x14ac:dyDescent="0.3">
      <c r="A563">
        <v>-118.5</v>
      </c>
      <c r="B563">
        <v>34</v>
      </c>
      <c r="C563">
        <v>2025</v>
      </c>
      <c r="D563">
        <v>1</v>
      </c>
      <c r="E563">
        <v>24</v>
      </c>
      <c r="F563">
        <f>Sayfa1!C563-273.15</f>
        <v>18.547265625000023</v>
      </c>
      <c r="G563">
        <v>14.364528656005859</v>
      </c>
      <c r="H563">
        <f>SQRT(Sayfa1!D563^2+Sayfa1!E563^2)</f>
        <v>4.0426596822868932</v>
      </c>
      <c r="I563">
        <f>SUM(Sayfa1!G540:G563)</f>
        <v>0</v>
      </c>
    </row>
    <row r="564" spans="1:9" x14ac:dyDescent="0.3">
      <c r="A564">
        <v>-118.5</v>
      </c>
      <c r="B564">
        <v>34</v>
      </c>
      <c r="C564">
        <v>2025</v>
      </c>
      <c r="D564">
        <v>1</v>
      </c>
      <c r="E564">
        <v>24</v>
      </c>
      <c r="F564">
        <f>Sayfa1!C564-273.15</f>
        <v>17.209130859375023</v>
      </c>
      <c r="G564">
        <v>13.37995433807373</v>
      </c>
      <c r="H564">
        <f>SQRT(Sayfa1!D564^2+Sayfa1!E564^2)</f>
        <v>4.0944297848386997</v>
      </c>
      <c r="I564">
        <f>SUM(Sayfa1!G541:G564)</f>
        <v>0</v>
      </c>
    </row>
    <row r="565" spans="1:9" x14ac:dyDescent="0.3">
      <c r="A565">
        <v>-118.5</v>
      </c>
      <c r="B565">
        <v>34</v>
      </c>
      <c r="C565">
        <v>2025</v>
      </c>
      <c r="D565">
        <v>1</v>
      </c>
      <c r="E565">
        <v>24</v>
      </c>
      <c r="F565">
        <f>Sayfa1!C565-273.15</f>
        <v>16.942285156250023</v>
      </c>
      <c r="G565">
        <v>13.933528900146484</v>
      </c>
      <c r="H565">
        <f>SQRT(Sayfa1!D565^2+Sayfa1!E565^2)</f>
        <v>4.3498248942749713</v>
      </c>
      <c r="I565">
        <f>SUM(Sayfa1!G542:G565)</f>
        <v>0</v>
      </c>
    </row>
    <row r="566" spans="1:9" x14ac:dyDescent="0.3">
      <c r="A566">
        <v>-118.5</v>
      </c>
      <c r="B566">
        <v>34</v>
      </c>
      <c r="C566">
        <v>2025</v>
      </c>
      <c r="D566">
        <v>1</v>
      </c>
      <c r="E566">
        <v>24</v>
      </c>
      <c r="F566">
        <f>Sayfa1!C566-273.15</f>
        <v>16.806420898437523</v>
      </c>
      <c r="G566">
        <v>14.335070610046387</v>
      </c>
      <c r="H566">
        <f>SQRT(Sayfa1!D566^2+Sayfa1!E566^2)</f>
        <v>4.142786963226599</v>
      </c>
      <c r="I566">
        <f>SUM(Sayfa1!G543:G566)</f>
        <v>0</v>
      </c>
    </row>
    <row r="567" spans="1:9" x14ac:dyDescent="0.3">
      <c r="A567">
        <v>-118.5</v>
      </c>
      <c r="B567">
        <v>34</v>
      </c>
      <c r="C567">
        <v>2025</v>
      </c>
      <c r="D567">
        <v>1</v>
      </c>
      <c r="E567">
        <v>24</v>
      </c>
      <c r="F567">
        <f>Sayfa1!C567-273.15</f>
        <v>16.593164062500023</v>
      </c>
      <c r="G567">
        <v>14.406824111938477</v>
      </c>
      <c r="H567">
        <f>SQRT(Sayfa1!D567^2+Sayfa1!E567^2)</f>
        <v>3.6017772707559117</v>
      </c>
      <c r="I567">
        <f>SUM(Sayfa1!G544:G567)</f>
        <v>0</v>
      </c>
    </row>
    <row r="568" spans="1:9" x14ac:dyDescent="0.3">
      <c r="A568">
        <v>-118.5</v>
      </c>
      <c r="B568">
        <v>34</v>
      </c>
      <c r="C568">
        <v>2025</v>
      </c>
      <c r="D568">
        <v>1</v>
      </c>
      <c r="E568">
        <v>24</v>
      </c>
      <c r="F568">
        <f>Sayfa1!C568-273.15</f>
        <v>16.406518554687523</v>
      </c>
      <c r="G568">
        <v>14.627988815307617</v>
      </c>
      <c r="H568">
        <f>SQRT(Sayfa1!D568^2+Sayfa1!E568^2)</f>
        <v>3.1925675630278061</v>
      </c>
      <c r="I568">
        <f>SUM(Sayfa1!G545:G568)</f>
        <v>0</v>
      </c>
    </row>
    <row r="569" spans="1:9" x14ac:dyDescent="0.3">
      <c r="A569">
        <v>-118.5</v>
      </c>
      <c r="B569">
        <v>34</v>
      </c>
      <c r="C569">
        <v>2025</v>
      </c>
      <c r="D569">
        <v>1</v>
      </c>
      <c r="E569">
        <v>24</v>
      </c>
      <c r="F569">
        <f>Sayfa1!C569-273.15</f>
        <v>16.193261718750023</v>
      </c>
      <c r="G569">
        <v>15.424805641174316</v>
      </c>
      <c r="H569">
        <f>SQRT(Sayfa1!D569^2+Sayfa1!E569^2)</f>
        <v>2.9936454275421851</v>
      </c>
      <c r="I569">
        <f>SUM(Sayfa1!G546:G569)</f>
        <v>0</v>
      </c>
    </row>
    <row r="570" spans="1:9" x14ac:dyDescent="0.3">
      <c r="A570">
        <v>-118.5</v>
      </c>
      <c r="B570">
        <v>34</v>
      </c>
      <c r="C570">
        <v>2025</v>
      </c>
      <c r="D570">
        <v>1</v>
      </c>
      <c r="E570">
        <v>24</v>
      </c>
      <c r="F570">
        <f>Sayfa1!C570-273.15</f>
        <v>15.991723632812523</v>
      </c>
      <c r="G570">
        <v>14.693482398986816</v>
      </c>
      <c r="H570">
        <f>SQRT(Sayfa1!D570^2+Sayfa1!E570^2)</f>
        <v>2.7780172296679808</v>
      </c>
      <c r="I570">
        <f>SUM(Sayfa1!G547:G570)</f>
        <v>0</v>
      </c>
    </row>
    <row r="571" spans="1:9" x14ac:dyDescent="0.3">
      <c r="A571">
        <v>-118.5</v>
      </c>
      <c r="B571">
        <v>34</v>
      </c>
      <c r="C571">
        <v>2025</v>
      </c>
      <c r="D571">
        <v>1</v>
      </c>
      <c r="E571">
        <v>24</v>
      </c>
      <c r="F571">
        <f>Sayfa1!C571-273.15</f>
        <v>15.877099609375023</v>
      </c>
      <c r="G571">
        <v>11.778456687927246</v>
      </c>
      <c r="H571">
        <f>SQRT(Sayfa1!D571^2+Sayfa1!E571^2)</f>
        <v>2.4847280740449205</v>
      </c>
      <c r="I571">
        <f>SUM(Sayfa1!G548:G571)</f>
        <v>0</v>
      </c>
    </row>
    <row r="572" spans="1:9" x14ac:dyDescent="0.3">
      <c r="A572">
        <v>-118.5</v>
      </c>
      <c r="B572">
        <v>34</v>
      </c>
      <c r="C572">
        <v>2025</v>
      </c>
      <c r="D572">
        <v>1</v>
      </c>
      <c r="E572">
        <v>24</v>
      </c>
      <c r="F572">
        <f>Sayfa1!C572-273.15</f>
        <v>15.708886718750023</v>
      </c>
      <c r="G572">
        <v>7.6113443374633789</v>
      </c>
      <c r="H572">
        <f>SQRT(Sayfa1!D572^2+Sayfa1!E572^2)</f>
        <v>2.1338338890866555</v>
      </c>
      <c r="I572">
        <f>SUM(Sayfa1!G549:G572)</f>
        <v>0</v>
      </c>
    </row>
    <row r="573" spans="1:9" x14ac:dyDescent="0.3">
      <c r="A573">
        <v>-118.5</v>
      </c>
      <c r="B573">
        <v>34</v>
      </c>
      <c r="C573">
        <v>2025</v>
      </c>
      <c r="D573">
        <v>1</v>
      </c>
      <c r="E573">
        <v>24</v>
      </c>
      <c r="F573">
        <f>Sayfa1!C573-273.15</f>
        <v>17.831811523437523</v>
      </c>
      <c r="G573">
        <v>7.1099996566772461</v>
      </c>
      <c r="H573">
        <f>SQRT(Sayfa1!D573^2+Sayfa1!E573^2)</f>
        <v>1.5796733629236015</v>
      </c>
      <c r="I573">
        <f>SUM(Sayfa1!G550:G573)</f>
        <v>0</v>
      </c>
    </row>
    <row r="574" spans="1:9" x14ac:dyDescent="0.3">
      <c r="A574">
        <v>-118.5</v>
      </c>
      <c r="B574">
        <v>34</v>
      </c>
      <c r="C574">
        <v>2025</v>
      </c>
      <c r="D574">
        <v>1</v>
      </c>
      <c r="E574">
        <v>24</v>
      </c>
      <c r="F574">
        <f>Sayfa1!C574-273.15</f>
        <v>19.331689453125023</v>
      </c>
      <c r="G574">
        <v>6.4478368759155273</v>
      </c>
      <c r="H574">
        <f>SQRT(Sayfa1!D574^2+Sayfa1!E574^2)</f>
        <v>0.98277337856088609</v>
      </c>
      <c r="I574">
        <f>SUM(Sayfa1!G551:G574)</f>
        <v>0</v>
      </c>
    </row>
    <row r="575" spans="1:9" x14ac:dyDescent="0.3">
      <c r="A575">
        <v>-118.5</v>
      </c>
      <c r="B575">
        <v>34</v>
      </c>
      <c r="C575">
        <v>2025</v>
      </c>
      <c r="D575">
        <v>1</v>
      </c>
      <c r="E575">
        <v>24</v>
      </c>
      <c r="F575">
        <f>Sayfa1!C575-273.15</f>
        <v>20.125695800781273</v>
      </c>
      <c r="G575">
        <v>6.7857351303100586</v>
      </c>
      <c r="H575">
        <f>SQRT(Sayfa1!D575^2+Sayfa1!E575^2)</f>
        <v>1.4350500752292579</v>
      </c>
      <c r="I575">
        <f>SUM(Sayfa1!G552:G575)</f>
        <v>0</v>
      </c>
    </row>
    <row r="576" spans="1:9" x14ac:dyDescent="0.3">
      <c r="A576">
        <v>-118.5</v>
      </c>
      <c r="B576">
        <v>34</v>
      </c>
      <c r="C576">
        <v>2025</v>
      </c>
      <c r="D576">
        <v>1</v>
      </c>
      <c r="E576">
        <v>24</v>
      </c>
      <c r="F576">
        <f>Sayfa1!C576-273.15</f>
        <v>19.881860351562523</v>
      </c>
      <c r="G576">
        <v>7.3186788558959961</v>
      </c>
      <c r="H576">
        <f>SQRT(Sayfa1!D576^2+Sayfa1!E576^2)</f>
        <v>1.9886280139297481</v>
      </c>
      <c r="I576">
        <f>SUM(Sayfa1!G553:G576)</f>
        <v>0</v>
      </c>
    </row>
    <row r="577" spans="1:9" x14ac:dyDescent="0.3">
      <c r="A577">
        <v>-118.5</v>
      </c>
      <c r="B577">
        <v>34</v>
      </c>
      <c r="C577">
        <v>2025</v>
      </c>
      <c r="D577">
        <v>1</v>
      </c>
      <c r="E577">
        <v>24</v>
      </c>
      <c r="F577">
        <f>Sayfa1!C577-273.15</f>
        <v>19.784326171875023</v>
      </c>
      <c r="G577">
        <v>8.9566097259521484</v>
      </c>
      <c r="H577">
        <f>SQRT(Sayfa1!D577^2+Sayfa1!E577^2)</f>
        <v>2.9627318488240957</v>
      </c>
      <c r="I577">
        <f>SUM(Sayfa1!G554:G577)</f>
        <v>0</v>
      </c>
    </row>
    <row r="578" spans="1:9" x14ac:dyDescent="0.3">
      <c r="A578">
        <v>-118.5</v>
      </c>
      <c r="B578">
        <v>34</v>
      </c>
      <c r="C578">
        <v>2025</v>
      </c>
      <c r="D578">
        <v>1</v>
      </c>
      <c r="E578">
        <v>25</v>
      </c>
      <c r="F578">
        <f>Sayfa1!C578-273.15</f>
        <v>18.851220703125023</v>
      </c>
      <c r="G578">
        <v>14.738189697265625</v>
      </c>
      <c r="H578">
        <f>SQRT(Sayfa1!D578^2+Sayfa1!E578^2)</f>
        <v>3.5167700502838004</v>
      </c>
      <c r="I578">
        <f>SUM(Sayfa1!G555:G578)</f>
        <v>0</v>
      </c>
    </row>
    <row r="579" spans="1:9" x14ac:dyDescent="0.3">
      <c r="A579">
        <v>-118.5</v>
      </c>
      <c r="B579">
        <v>34</v>
      </c>
      <c r="C579">
        <v>2025</v>
      </c>
      <c r="D579">
        <v>1</v>
      </c>
      <c r="E579">
        <v>25</v>
      </c>
      <c r="F579">
        <f>Sayfa1!C579-273.15</f>
        <v>17.262353515625023</v>
      </c>
      <c r="G579">
        <v>24.409465789794922</v>
      </c>
      <c r="H579">
        <f>SQRT(Sayfa1!D579^2+Sayfa1!E579^2)</f>
        <v>3.0135340007788347</v>
      </c>
      <c r="I579">
        <f>SUM(Sayfa1!G556:G579)</f>
        <v>0</v>
      </c>
    </row>
    <row r="580" spans="1:9" x14ac:dyDescent="0.3">
      <c r="A580">
        <v>-118.5</v>
      </c>
      <c r="B580">
        <v>34</v>
      </c>
      <c r="C580">
        <v>2025</v>
      </c>
      <c r="D580">
        <v>1</v>
      </c>
      <c r="E580">
        <v>25</v>
      </c>
      <c r="F580">
        <f>Sayfa1!C580-273.15</f>
        <v>16.217431640625023</v>
      </c>
      <c r="G580">
        <v>30.722568511962891</v>
      </c>
      <c r="H580">
        <f>SQRT(Sayfa1!D580^2+Sayfa1!E580^2)</f>
        <v>2.6301994866564269</v>
      </c>
      <c r="I580">
        <f>SUM(Sayfa1!G557:G580)</f>
        <v>0</v>
      </c>
    </row>
    <row r="581" spans="1:9" x14ac:dyDescent="0.3">
      <c r="A581">
        <v>-118.5</v>
      </c>
      <c r="B581">
        <v>34</v>
      </c>
      <c r="C581">
        <v>2025</v>
      </c>
      <c r="D581">
        <v>1</v>
      </c>
      <c r="E581">
        <v>25</v>
      </c>
      <c r="F581">
        <f>Sayfa1!C581-273.15</f>
        <v>15.817407226562523</v>
      </c>
      <c r="G581">
        <v>35.512947082519531</v>
      </c>
      <c r="H581">
        <f>SQRT(Sayfa1!D581^2+Sayfa1!E581^2)</f>
        <v>1.9007345449022379</v>
      </c>
      <c r="I581">
        <f>SUM(Sayfa1!G558:G581)</f>
        <v>0</v>
      </c>
    </row>
    <row r="582" spans="1:9" x14ac:dyDescent="0.3">
      <c r="A582">
        <v>-118.5</v>
      </c>
      <c r="B582">
        <v>34</v>
      </c>
      <c r="C582">
        <v>2025</v>
      </c>
      <c r="D582">
        <v>1</v>
      </c>
      <c r="E582">
        <v>25</v>
      </c>
      <c r="F582">
        <f>Sayfa1!C582-273.15</f>
        <v>15.640771484375023</v>
      </c>
      <c r="G582">
        <v>37.363677978515625</v>
      </c>
      <c r="H582">
        <f>SQRT(Sayfa1!D582^2+Sayfa1!E582^2)</f>
        <v>1.0164994979636008</v>
      </c>
      <c r="I582">
        <f>SUM(Sayfa1!G559:G582)</f>
        <v>0</v>
      </c>
    </row>
    <row r="583" spans="1:9" x14ac:dyDescent="0.3">
      <c r="A583">
        <v>-118.5</v>
      </c>
      <c r="B583">
        <v>34</v>
      </c>
      <c r="C583">
        <v>2025</v>
      </c>
      <c r="D583">
        <v>1</v>
      </c>
      <c r="E583">
        <v>25</v>
      </c>
      <c r="F583">
        <f>Sayfa1!C583-273.15</f>
        <v>15.201928710937523</v>
      </c>
      <c r="G583">
        <v>38.691383361816406</v>
      </c>
      <c r="H583">
        <f>SQRT(Sayfa1!D583^2+Sayfa1!E583^2)</f>
        <v>0.67808669030538726</v>
      </c>
      <c r="I583">
        <f>SUM(Sayfa1!G560:G583)</f>
        <v>0</v>
      </c>
    </row>
    <row r="584" spans="1:9" x14ac:dyDescent="0.3">
      <c r="A584">
        <v>-118.5</v>
      </c>
      <c r="B584">
        <v>34</v>
      </c>
      <c r="C584">
        <v>2025</v>
      </c>
      <c r="D584">
        <v>1</v>
      </c>
      <c r="E584">
        <v>25</v>
      </c>
      <c r="F584">
        <f>Sayfa1!C584-273.15</f>
        <v>14.395410156250023</v>
      </c>
      <c r="G584">
        <v>44.149436950683594</v>
      </c>
      <c r="H584">
        <f>SQRT(Sayfa1!D584^2+Sayfa1!E584^2)</f>
        <v>0.76382469714644019</v>
      </c>
      <c r="I584">
        <f>SUM(Sayfa1!G561:G584)</f>
        <v>0</v>
      </c>
    </row>
    <row r="585" spans="1:9" x14ac:dyDescent="0.3">
      <c r="A585">
        <v>-118.5</v>
      </c>
      <c r="B585">
        <v>34</v>
      </c>
      <c r="C585">
        <v>2025</v>
      </c>
      <c r="D585">
        <v>1</v>
      </c>
      <c r="E585">
        <v>25</v>
      </c>
      <c r="F585">
        <f>Sayfa1!C585-273.15</f>
        <v>13.577050781250023</v>
      </c>
      <c r="G585">
        <v>51.939521789550781</v>
      </c>
      <c r="H585">
        <f>SQRT(Sayfa1!D585^2+Sayfa1!E585^2)</f>
        <v>1.2112620459074837</v>
      </c>
      <c r="I585">
        <f>SUM(Sayfa1!G562:G585)</f>
        <v>0</v>
      </c>
    </row>
    <row r="586" spans="1:9" x14ac:dyDescent="0.3">
      <c r="A586">
        <v>-118.5</v>
      </c>
      <c r="B586">
        <v>34</v>
      </c>
      <c r="C586">
        <v>2025</v>
      </c>
      <c r="D586">
        <v>1</v>
      </c>
      <c r="E586">
        <v>25</v>
      </c>
      <c r="F586">
        <f>Sayfa1!C586-273.15</f>
        <v>12.873315429687523</v>
      </c>
      <c r="G586">
        <v>58.333660125732422</v>
      </c>
      <c r="H586">
        <f>SQRT(Sayfa1!D586^2+Sayfa1!E586^2)</f>
        <v>1.8126412134458945</v>
      </c>
      <c r="I586">
        <f>SUM(Sayfa1!G563:G586)</f>
        <v>0</v>
      </c>
    </row>
    <row r="587" spans="1:9" x14ac:dyDescent="0.3">
      <c r="A587">
        <v>-118.5</v>
      </c>
      <c r="B587">
        <v>34</v>
      </c>
      <c r="C587">
        <v>2025</v>
      </c>
      <c r="D587">
        <v>1</v>
      </c>
      <c r="E587">
        <v>25</v>
      </c>
      <c r="F587">
        <f>Sayfa1!C587-273.15</f>
        <v>12.298730468750023</v>
      </c>
      <c r="G587">
        <v>63.256843566894531</v>
      </c>
      <c r="H587">
        <f>SQRT(Sayfa1!D587^2+Sayfa1!E587^2)</f>
        <v>2.5954598608115065</v>
      </c>
      <c r="I587">
        <f>SUM(Sayfa1!G564:G587)</f>
        <v>0</v>
      </c>
    </row>
    <row r="588" spans="1:9" x14ac:dyDescent="0.3">
      <c r="A588">
        <v>-118.5</v>
      </c>
      <c r="B588">
        <v>34</v>
      </c>
      <c r="C588">
        <v>2025</v>
      </c>
      <c r="D588">
        <v>1</v>
      </c>
      <c r="E588">
        <v>25</v>
      </c>
      <c r="F588">
        <f>Sayfa1!C588-273.15</f>
        <v>12.047143554687523</v>
      </c>
      <c r="G588">
        <v>62.592529296875</v>
      </c>
      <c r="H588">
        <f>SQRT(Sayfa1!D588^2+Sayfa1!E588^2)</f>
        <v>2.7742574749379307</v>
      </c>
      <c r="I588">
        <f>SUM(Sayfa1!G565:G588)</f>
        <v>0</v>
      </c>
    </row>
    <row r="589" spans="1:9" x14ac:dyDescent="0.3">
      <c r="A589">
        <v>-118.5</v>
      </c>
      <c r="B589">
        <v>34</v>
      </c>
      <c r="C589">
        <v>2025</v>
      </c>
      <c r="D589">
        <v>1</v>
      </c>
      <c r="E589">
        <v>25</v>
      </c>
      <c r="F589">
        <f>Sayfa1!C589-273.15</f>
        <v>11.778100585937523</v>
      </c>
      <c r="G589">
        <v>61.958957672119141</v>
      </c>
      <c r="H589">
        <f>SQRT(Sayfa1!D589^2+Sayfa1!E589^2)</f>
        <v>2.917199160249464</v>
      </c>
      <c r="I589">
        <f>SUM(Sayfa1!G566:G589)</f>
        <v>0</v>
      </c>
    </row>
    <row r="590" spans="1:9" x14ac:dyDescent="0.3">
      <c r="A590">
        <v>-118.5</v>
      </c>
      <c r="B590">
        <v>34</v>
      </c>
      <c r="C590">
        <v>2025</v>
      </c>
      <c r="D590">
        <v>1</v>
      </c>
      <c r="E590">
        <v>25</v>
      </c>
      <c r="F590">
        <f>Sayfa1!C590-273.15</f>
        <v>11.660363769531273</v>
      </c>
      <c r="G590">
        <v>58.387313842773438</v>
      </c>
      <c r="H590">
        <f>SQRT(Sayfa1!D590^2+Sayfa1!E590^2)</f>
        <v>2.8468876805229826</v>
      </c>
      <c r="I590">
        <f>SUM(Sayfa1!G567:G590)</f>
        <v>0</v>
      </c>
    </row>
    <row r="591" spans="1:9" x14ac:dyDescent="0.3">
      <c r="A591">
        <v>-118.5</v>
      </c>
      <c r="B591">
        <v>34</v>
      </c>
      <c r="C591">
        <v>2025</v>
      </c>
      <c r="D591">
        <v>1</v>
      </c>
      <c r="E591">
        <v>25</v>
      </c>
      <c r="F591">
        <f>Sayfa1!C591-273.15</f>
        <v>11.587548828125023</v>
      </c>
      <c r="G591">
        <v>53.422325134277344</v>
      </c>
      <c r="H591">
        <f>SQRT(Sayfa1!D591^2+Sayfa1!E591^2)</f>
        <v>2.696079036134448</v>
      </c>
      <c r="I591">
        <f>SUM(Sayfa1!G568:G591)</f>
        <v>0</v>
      </c>
    </row>
    <row r="592" spans="1:9" x14ac:dyDescent="0.3">
      <c r="A592">
        <v>-118.5</v>
      </c>
      <c r="B592">
        <v>34</v>
      </c>
      <c r="C592">
        <v>2025</v>
      </c>
      <c r="D592">
        <v>1</v>
      </c>
      <c r="E592">
        <v>25</v>
      </c>
      <c r="F592">
        <f>Sayfa1!C592-273.15</f>
        <v>11.451623535156273</v>
      </c>
      <c r="G592">
        <v>49.707324981689453</v>
      </c>
      <c r="H592">
        <f>SQRT(Sayfa1!D592^2+Sayfa1!E592^2)</f>
        <v>2.7275428534637451</v>
      </c>
      <c r="I592">
        <f>SUM(Sayfa1!G569:G592)</f>
        <v>4.76837158203125E-4</v>
      </c>
    </row>
    <row r="593" spans="1:9" x14ac:dyDescent="0.3">
      <c r="A593">
        <v>-118.5</v>
      </c>
      <c r="B593">
        <v>34</v>
      </c>
      <c r="C593">
        <v>2025</v>
      </c>
      <c r="D593">
        <v>1</v>
      </c>
      <c r="E593">
        <v>25</v>
      </c>
      <c r="F593">
        <f>Sayfa1!C593-273.15</f>
        <v>11.322900390625023</v>
      </c>
      <c r="G593">
        <v>47.176719665527344</v>
      </c>
      <c r="H593">
        <f>SQRT(Sayfa1!D593^2+Sayfa1!E593^2)</f>
        <v>3.1331601552346542</v>
      </c>
      <c r="I593">
        <f>SUM(Sayfa1!G570:G593)</f>
        <v>9.5367431640625E-4</v>
      </c>
    </row>
    <row r="594" spans="1:9" x14ac:dyDescent="0.3">
      <c r="A594">
        <v>-118.5</v>
      </c>
      <c r="B594">
        <v>34</v>
      </c>
      <c r="C594">
        <v>2025</v>
      </c>
      <c r="D594">
        <v>1</v>
      </c>
      <c r="E594">
        <v>25</v>
      </c>
      <c r="F594">
        <f>Sayfa1!C594-273.15</f>
        <v>11.234216308593773</v>
      </c>
      <c r="G594">
        <v>44.143779754638672</v>
      </c>
      <c r="H594">
        <f>SQRT(Sayfa1!D594^2+Sayfa1!E594^2)</f>
        <v>3.2008878621243975</v>
      </c>
      <c r="I594">
        <f>SUM(Sayfa1!G571:G594)</f>
        <v>2.86102294921875E-3</v>
      </c>
    </row>
    <row r="595" spans="1:9" x14ac:dyDescent="0.3">
      <c r="A595">
        <v>-118.5</v>
      </c>
      <c r="B595">
        <v>34</v>
      </c>
      <c r="C595">
        <v>2025</v>
      </c>
      <c r="D595">
        <v>1</v>
      </c>
      <c r="E595">
        <v>25</v>
      </c>
      <c r="F595">
        <f>Sayfa1!C595-273.15</f>
        <v>11.625939941406273</v>
      </c>
      <c r="G595">
        <v>40.526981353759766</v>
      </c>
      <c r="H595">
        <f>SQRT(Sayfa1!D595^2+Sayfa1!E595^2)</f>
        <v>3.2887258383201217</v>
      </c>
      <c r="I595">
        <f>SUM(Sayfa1!G572:G595)</f>
        <v>4.76837158203125E-3</v>
      </c>
    </row>
    <row r="596" spans="1:9" x14ac:dyDescent="0.3">
      <c r="A596">
        <v>-118.5</v>
      </c>
      <c r="B596">
        <v>34</v>
      </c>
      <c r="C596">
        <v>2025</v>
      </c>
      <c r="D596">
        <v>1</v>
      </c>
      <c r="E596">
        <v>25</v>
      </c>
      <c r="F596">
        <f>Sayfa1!C596-273.15</f>
        <v>12.710778808593773</v>
      </c>
      <c r="G596">
        <v>55.197891235351563</v>
      </c>
      <c r="H596">
        <f>SQRT(Sayfa1!D596^2+Sayfa1!E596^2)</f>
        <v>4.6899028293943319</v>
      </c>
      <c r="I596">
        <f>SUM(Sayfa1!G573:G596)</f>
        <v>8.58306884765625E-3</v>
      </c>
    </row>
    <row r="597" spans="1:9" x14ac:dyDescent="0.3">
      <c r="A597">
        <v>-118.5</v>
      </c>
      <c r="B597">
        <v>34</v>
      </c>
      <c r="C597">
        <v>2025</v>
      </c>
      <c r="D597">
        <v>1</v>
      </c>
      <c r="E597">
        <v>25</v>
      </c>
      <c r="F597">
        <f>Sayfa1!C597-273.15</f>
        <v>13.369592285156273</v>
      </c>
      <c r="G597">
        <v>56.6983642578125</v>
      </c>
      <c r="H597">
        <f>SQRT(Sayfa1!D597^2+Sayfa1!E597^2)</f>
        <v>4.8021284484852593</v>
      </c>
      <c r="I597">
        <f>SUM(Sayfa1!G574:G597)</f>
        <v>3.4332275390625E-2</v>
      </c>
    </row>
    <row r="598" spans="1:9" x14ac:dyDescent="0.3">
      <c r="A598">
        <v>-118.5</v>
      </c>
      <c r="B598">
        <v>34</v>
      </c>
      <c r="C598">
        <v>2025</v>
      </c>
      <c r="D598">
        <v>1</v>
      </c>
      <c r="E598">
        <v>25</v>
      </c>
      <c r="F598">
        <f>Sayfa1!C598-273.15</f>
        <v>13.651696777343773</v>
      </c>
      <c r="G598">
        <v>58.585906982421875</v>
      </c>
      <c r="H598">
        <f>SQRT(Sayfa1!D598^2+Sayfa1!E598^2)</f>
        <v>4.7215911453815309</v>
      </c>
      <c r="I598">
        <f>SUM(Sayfa1!G575:G598)</f>
        <v>5.340576171875E-2</v>
      </c>
    </row>
    <row r="599" spans="1:9" x14ac:dyDescent="0.3">
      <c r="A599">
        <v>-118.5</v>
      </c>
      <c r="B599">
        <v>34</v>
      </c>
      <c r="C599">
        <v>2025</v>
      </c>
      <c r="D599">
        <v>1</v>
      </c>
      <c r="E599">
        <v>25</v>
      </c>
      <c r="F599">
        <f>Sayfa1!C599-273.15</f>
        <v>13.476831054687523</v>
      </c>
      <c r="G599">
        <v>61.369857788085938</v>
      </c>
      <c r="H599">
        <f>SQRT(Sayfa1!D599^2+Sayfa1!E599^2)</f>
        <v>4.7413801553938075</v>
      </c>
      <c r="I599">
        <f>SUM(Sayfa1!G576:G599)</f>
        <v>5.8650970458984375E-2</v>
      </c>
    </row>
    <row r="600" spans="1:9" x14ac:dyDescent="0.3">
      <c r="A600">
        <v>-118.5</v>
      </c>
      <c r="B600">
        <v>34</v>
      </c>
      <c r="C600">
        <v>2025</v>
      </c>
      <c r="D600">
        <v>1</v>
      </c>
      <c r="E600">
        <v>25</v>
      </c>
      <c r="F600">
        <f>Sayfa1!C600-273.15</f>
        <v>12.959558105468773</v>
      </c>
      <c r="G600">
        <v>70.276412963867188</v>
      </c>
      <c r="H600">
        <f>SQRT(Sayfa1!D600^2+Sayfa1!E600^2)</f>
        <v>4.3078037259462976</v>
      </c>
      <c r="I600">
        <f>SUM(Sayfa1!G577:G600)</f>
        <v>7.2002410888671875E-2</v>
      </c>
    </row>
    <row r="601" spans="1:9" x14ac:dyDescent="0.3">
      <c r="A601">
        <v>-118.5</v>
      </c>
      <c r="B601">
        <v>34</v>
      </c>
      <c r="C601">
        <v>2025</v>
      </c>
      <c r="D601">
        <v>1</v>
      </c>
      <c r="E601">
        <v>25</v>
      </c>
      <c r="F601">
        <f>Sayfa1!C601-273.15</f>
        <v>12.795922851562523</v>
      </c>
      <c r="G601">
        <v>71.147598266601563</v>
      </c>
      <c r="H601">
        <f>SQRT(Sayfa1!D601^2+Sayfa1!E601^2)</f>
        <v>4.3362267008177158</v>
      </c>
      <c r="I601">
        <f>SUM(Sayfa1!G578:G601)</f>
        <v>8.1539154052734375E-2</v>
      </c>
    </row>
    <row r="602" spans="1:9" x14ac:dyDescent="0.3">
      <c r="A602">
        <v>-118.5</v>
      </c>
      <c r="B602">
        <v>34</v>
      </c>
      <c r="C602">
        <v>2025</v>
      </c>
      <c r="D602">
        <v>1</v>
      </c>
      <c r="E602">
        <v>26</v>
      </c>
      <c r="F602">
        <f>Sayfa1!C602-273.15</f>
        <v>12.430841064453148</v>
      </c>
      <c r="G602">
        <v>72.461761474609375</v>
      </c>
      <c r="H602">
        <f>SQRT(Sayfa1!D602^2+Sayfa1!E602^2)</f>
        <v>4.0882746578565161</v>
      </c>
      <c r="I602">
        <f>SUM(Sayfa1!G579:G602)</f>
        <v>0.10633468627929688</v>
      </c>
    </row>
    <row r="603" spans="1:9" x14ac:dyDescent="0.3">
      <c r="A603">
        <v>-118.5</v>
      </c>
      <c r="B603">
        <v>34</v>
      </c>
      <c r="C603">
        <v>2025</v>
      </c>
      <c r="D603">
        <v>1</v>
      </c>
      <c r="E603">
        <v>26</v>
      </c>
      <c r="F603">
        <f>Sayfa1!C603-273.15</f>
        <v>11.949609375000023</v>
      </c>
      <c r="G603">
        <v>75.9254150390625</v>
      </c>
      <c r="H603">
        <f>SQRT(Sayfa1!D603^2+Sayfa1!E603^2)</f>
        <v>3.5001026395892261</v>
      </c>
      <c r="I603">
        <f>SUM(Sayfa1!G580:G603)</f>
        <v>0.1544952392578125</v>
      </c>
    </row>
    <row r="604" spans="1:9" x14ac:dyDescent="0.3">
      <c r="A604">
        <v>-118.5</v>
      </c>
      <c r="B604">
        <v>34</v>
      </c>
      <c r="C604">
        <v>2025</v>
      </c>
      <c r="D604">
        <v>1</v>
      </c>
      <c r="E604">
        <v>26</v>
      </c>
      <c r="F604">
        <f>Sayfa1!C604-273.15</f>
        <v>11.576318359375023</v>
      </c>
      <c r="G604">
        <v>79.28790283203125</v>
      </c>
      <c r="H604">
        <f>SQRT(Sayfa1!D604^2+Sayfa1!E604^2)</f>
        <v>3.1818739378212273</v>
      </c>
      <c r="I604">
        <f>SUM(Sayfa1!G581:G604)</f>
        <v>0.19979476928710938</v>
      </c>
    </row>
    <row r="605" spans="1:9" x14ac:dyDescent="0.3">
      <c r="A605">
        <v>-118.5</v>
      </c>
      <c r="B605">
        <v>34</v>
      </c>
      <c r="C605">
        <v>2025</v>
      </c>
      <c r="D605">
        <v>1</v>
      </c>
      <c r="E605">
        <v>26</v>
      </c>
      <c r="F605">
        <f>Sayfa1!C605-273.15</f>
        <v>11.203515625000023</v>
      </c>
      <c r="G605">
        <v>83.157089233398438</v>
      </c>
      <c r="H605">
        <f>SQRT(Sayfa1!D605^2+Sayfa1!E605^2)</f>
        <v>3.6411016162098702</v>
      </c>
      <c r="I605">
        <f>SUM(Sayfa1!G582:G605)</f>
        <v>0.3032684326171875</v>
      </c>
    </row>
    <row r="606" spans="1:9" x14ac:dyDescent="0.3">
      <c r="A606">
        <v>-118.5</v>
      </c>
      <c r="B606">
        <v>34</v>
      </c>
      <c r="C606">
        <v>2025</v>
      </c>
      <c r="D606">
        <v>1</v>
      </c>
      <c r="E606">
        <v>26</v>
      </c>
      <c r="F606">
        <f>Sayfa1!C606-273.15</f>
        <v>11.151696777343773</v>
      </c>
      <c r="G606">
        <v>83.797943115234375</v>
      </c>
      <c r="H606">
        <f>SQRT(Sayfa1!D606^2+Sayfa1!E606^2)</f>
        <v>3.8723197059362429</v>
      </c>
      <c r="I606">
        <f>SUM(Sayfa1!G583:G606)</f>
        <v>0.51355361938476563</v>
      </c>
    </row>
    <row r="607" spans="1:9" x14ac:dyDescent="0.3">
      <c r="A607">
        <v>-118.5</v>
      </c>
      <c r="B607">
        <v>34</v>
      </c>
      <c r="C607">
        <v>2025</v>
      </c>
      <c r="D607">
        <v>1</v>
      </c>
      <c r="E607">
        <v>26</v>
      </c>
      <c r="F607">
        <f>Sayfa1!C607-273.15</f>
        <v>10.922540283203148</v>
      </c>
      <c r="G607">
        <v>84.60418701171875</v>
      </c>
      <c r="H607">
        <f>SQRT(Sayfa1!D607^2+Sayfa1!E607^2)</f>
        <v>3.4723974840917879</v>
      </c>
      <c r="I607">
        <f>SUM(Sayfa1!G584:G607)</f>
        <v>0.8296966552734375</v>
      </c>
    </row>
    <row r="608" spans="1:9" x14ac:dyDescent="0.3">
      <c r="A608">
        <v>-118.5</v>
      </c>
      <c r="B608">
        <v>34</v>
      </c>
      <c r="C608">
        <v>2025</v>
      </c>
      <c r="D608">
        <v>1</v>
      </c>
      <c r="E608">
        <v>26</v>
      </c>
      <c r="F608">
        <f>Sayfa1!C608-273.15</f>
        <v>10.756982421875023</v>
      </c>
      <c r="G608">
        <v>85.560165405273438</v>
      </c>
      <c r="H608">
        <f>SQRT(Sayfa1!D608^2+Sayfa1!E608^2)</f>
        <v>2.8101936707233546</v>
      </c>
      <c r="I608">
        <f>SUM(Sayfa1!G585:G608)</f>
        <v>1.1196136474609375</v>
      </c>
    </row>
    <row r="609" spans="1:9" x14ac:dyDescent="0.3">
      <c r="A609">
        <v>-118.5</v>
      </c>
      <c r="B609">
        <v>34</v>
      </c>
      <c r="C609">
        <v>2025</v>
      </c>
      <c r="D609">
        <v>1</v>
      </c>
      <c r="E609">
        <v>26</v>
      </c>
      <c r="F609">
        <f>Sayfa1!C609-273.15</f>
        <v>10.300195312500023</v>
      </c>
      <c r="G609">
        <v>90.285064697265625</v>
      </c>
      <c r="H609">
        <f>SQRT(Sayfa1!D609^2+Sayfa1!E609^2)</f>
        <v>2.7753174817126784</v>
      </c>
      <c r="I609">
        <f>SUM(Sayfa1!G586:G609)</f>
        <v>1.4195442199707031</v>
      </c>
    </row>
    <row r="610" spans="1:9" x14ac:dyDescent="0.3">
      <c r="A610">
        <v>-118.5</v>
      </c>
      <c r="B610">
        <v>34</v>
      </c>
      <c r="C610">
        <v>2025</v>
      </c>
      <c r="D610">
        <v>1</v>
      </c>
      <c r="E610">
        <v>26</v>
      </c>
      <c r="F610">
        <f>Sayfa1!C610-273.15</f>
        <v>10.036157226562523</v>
      </c>
      <c r="G610">
        <v>91.805938720703125</v>
      </c>
      <c r="H610">
        <f>SQRT(Sayfa1!D610^2+Sayfa1!E610^2)</f>
        <v>2.4103681482870813</v>
      </c>
      <c r="I610">
        <f>SUM(Sayfa1!G587:G610)</f>
        <v>1.6036033630371094</v>
      </c>
    </row>
    <row r="611" spans="1:9" x14ac:dyDescent="0.3">
      <c r="A611">
        <v>-118.5</v>
      </c>
      <c r="B611">
        <v>34</v>
      </c>
      <c r="C611">
        <v>2025</v>
      </c>
      <c r="D611">
        <v>1</v>
      </c>
      <c r="E611">
        <v>26</v>
      </c>
      <c r="F611">
        <f>Sayfa1!C611-273.15</f>
        <v>10.028833007812523</v>
      </c>
      <c r="G611">
        <v>87.364425659179688</v>
      </c>
      <c r="H611">
        <f>SQRT(Sayfa1!D611^2+Sayfa1!E611^2)</f>
        <v>1.6525838142223015</v>
      </c>
      <c r="I611">
        <f>SUM(Sayfa1!G588:G611)</f>
        <v>1.8167495727539063</v>
      </c>
    </row>
    <row r="612" spans="1:9" x14ac:dyDescent="0.3">
      <c r="A612">
        <v>-118.5</v>
      </c>
      <c r="B612">
        <v>34</v>
      </c>
      <c r="C612">
        <v>2025</v>
      </c>
      <c r="D612">
        <v>1</v>
      </c>
      <c r="E612">
        <v>26</v>
      </c>
      <c r="F612">
        <f>Sayfa1!C612-273.15</f>
        <v>10.889184570312523</v>
      </c>
      <c r="G612">
        <v>76.846633911132813</v>
      </c>
      <c r="H612">
        <f>SQRT(Sayfa1!D612^2+Sayfa1!E612^2)</f>
        <v>0.60058175566233085</v>
      </c>
      <c r="I612">
        <f>SUM(Sayfa1!G589:G612)</f>
        <v>2.1204948425292969</v>
      </c>
    </row>
    <row r="613" spans="1:9" x14ac:dyDescent="0.3">
      <c r="A613">
        <v>-118.5</v>
      </c>
      <c r="B613">
        <v>34</v>
      </c>
      <c r="C613">
        <v>2025</v>
      </c>
      <c r="D613">
        <v>1</v>
      </c>
      <c r="E613">
        <v>26</v>
      </c>
      <c r="F613">
        <f>Sayfa1!C613-273.15</f>
        <v>10.921594238281273</v>
      </c>
      <c r="G613">
        <v>75.9931640625</v>
      </c>
      <c r="H613">
        <f>SQRT(Sayfa1!D613^2+Sayfa1!E613^2)</f>
        <v>0.19621270447701863</v>
      </c>
      <c r="I613">
        <f>SUM(Sayfa1!G590:G613)</f>
        <v>2.1986961364746094</v>
      </c>
    </row>
    <row r="614" spans="1:9" x14ac:dyDescent="0.3">
      <c r="A614">
        <v>-118.5</v>
      </c>
      <c r="B614">
        <v>34</v>
      </c>
      <c r="C614">
        <v>2025</v>
      </c>
      <c r="D614">
        <v>1</v>
      </c>
      <c r="E614">
        <v>26</v>
      </c>
      <c r="F614">
        <f>Sayfa1!C614-273.15</f>
        <v>10.608239746093773</v>
      </c>
      <c r="G614">
        <v>76.474395751953125</v>
      </c>
      <c r="H614">
        <f>SQRT(Sayfa1!D614^2+Sayfa1!E614^2)</f>
        <v>1.0969266147480492</v>
      </c>
      <c r="I614">
        <f>SUM(Sayfa1!G591:G614)</f>
        <v>2.5005340576171875</v>
      </c>
    </row>
    <row r="615" spans="1:9" x14ac:dyDescent="0.3">
      <c r="A615">
        <v>-118.5</v>
      </c>
      <c r="B615">
        <v>34</v>
      </c>
      <c r="C615">
        <v>2025</v>
      </c>
      <c r="D615">
        <v>1</v>
      </c>
      <c r="E615">
        <v>26</v>
      </c>
      <c r="F615">
        <f>Sayfa1!C615-273.15</f>
        <v>10.240625000000023</v>
      </c>
      <c r="G615">
        <v>79.83734130859375</v>
      </c>
      <c r="H615">
        <f>SQRT(Sayfa1!D615^2+Sayfa1!E615^2)</f>
        <v>2.0527170269125992</v>
      </c>
      <c r="I615">
        <f>SUM(Sayfa1!G592:G615)</f>
        <v>2.6011466979980469</v>
      </c>
    </row>
    <row r="616" spans="1:9" x14ac:dyDescent="0.3">
      <c r="A616">
        <v>-118.5</v>
      </c>
      <c r="B616">
        <v>34</v>
      </c>
      <c r="C616">
        <v>2025</v>
      </c>
      <c r="D616">
        <v>1</v>
      </c>
      <c r="E616">
        <v>26</v>
      </c>
      <c r="F616">
        <f>Sayfa1!C616-273.15</f>
        <v>10.044152832031273</v>
      </c>
      <c r="G616">
        <v>81.862701416015625</v>
      </c>
      <c r="H616">
        <f>SQRT(Sayfa1!D616^2+Sayfa1!E616^2)</f>
        <v>2.6855897535889102</v>
      </c>
      <c r="I616">
        <f>SUM(Sayfa1!G593:G616)</f>
        <v>2.7179718017578125</v>
      </c>
    </row>
    <row r="617" spans="1:9" x14ac:dyDescent="0.3">
      <c r="A617">
        <v>-118.5</v>
      </c>
      <c r="B617">
        <v>34</v>
      </c>
      <c r="C617">
        <v>2025</v>
      </c>
      <c r="D617">
        <v>1</v>
      </c>
      <c r="E617">
        <v>26</v>
      </c>
      <c r="F617">
        <f>Sayfa1!C617-273.15</f>
        <v>9.4585815429687727</v>
      </c>
      <c r="G617">
        <v>84.099441528320313</v>
      </c>
      <c r="H617">
        <f>SQRT(Sayfa1!D617^2+Sayfa1!E617^2)</f>
        <v>3.2921941154427206</v>
      </c>
      <c r="I617">
        <f>SUM(Sayfa1!G594:G617)</f>
        <v>2.9807090759277344</v>
      </c>
    </row>
    <row r="618" spans="1:9" x14ac:dyDescent="0.3">
      <c r="A618">
        <v>-118.5</v>
      </c>
      <c r="B618">
        <v>34</v>
      </c>
      <c r="C618">
        <v>2025</v>
      </c>
      <c r="D618">
        <v>1</v>
      </c>
      <c r="E618">
        <v>26</v>
      </c>
      <c r="F618">
        <f>Sayfa1!C618-273.15</f>
        <v>9.2247558593750227</v>
      </c>
      <c r="G618">
        <v>87.44281005859375</v>
      </c>
      <c r="H618">
        <f>SQRT(Sayfa1!D618^2+Sayfa1!E618^2)</f>
        <v>3.5107013225829871</v>
      </c>
      <c r="I618">
        <f>SUM(Sayfa1!G595:G618)</f>
        <v>3.5023689270019531</v>
      </c>
    </row>
    <row r="619" spans="1:9" x14ac:dyDescent="0.3">
      <c r="A619">
        <v>-118.5</v>
      </c>
      <c r="B619">
        <v>34</v>
      </c>
      <c r="C619">
        <v>2025</v>
      </c>
      <c r="D619">
        <v>1</v>
      </c>
      <c r="E619">
        <v>26</v>
      </c>
      <c r="F619">
        <f>Sayfa1!C619-273.15</f>
        <v>9.3422485351562727</v>
      </c>
      <c r="G619">
        <v>86.76007080078125</v>
      </c>
      <c r="H619">
        <f>SQRT(Sayfa1!D619^2+Sayfa1!E619^2)</f>
        <v>3.6434778007547837</v>
      </c>
      <c r="I619">
        <f>SUM(Sayfa1!G596:G619)</f>
        <v>3.7798881530761719</v>
      </c>
    </row>
    <row r="620" spans="1:9" x14ac:dyDescent="0.3">
      <c r="A620">
        <v>-118.5</v>
      </c>
      <c r="B620">
        <v>34</v>
      </c>
      <c r="C620">
        <v>2025</v>
      </c>
      <c r="D620">
        <v>1</v>
      </c>
      <c r="E620">
        <v>26</v>
      </c>
      <c r="F620">
        <f>Sayfa1!C620-273.15</f>
        <v>9.8237854003906477</v>
      </c>
      <c r="G620">
        <v>85.15911865234375</v>
      </c>
      <c r="H620">
        <f>SQRT(Sayfa1!D620^2+Sayfa1!E620^2)</f>
        <v>3.9306117087781169</v>
      </c>
      <c r="I620">
        <f>SUM(Sayfa1!G597:G620)</f>
        <v>4.2834281921386719</v>
      </c>
    </row>
    <row r="621" spans="1:9" x14ac:dyDescent="0.3">
      <c r="A621">
        <v>-118.5</v>
      </c>
      <c r="B621">
        <v>34</v>
      </c>
      <c r="C621">
        <v>2025</v>
      </c>
      <c r="D621">
        <v>1</v>
      </c>
      <c r="E621">
        <v>26</v>
      </c>
      <c r="F621">
        <f>Sayfa1!C621-273.15</f>
        <v>10.103784179687523</v>
      </c>
      <c r="G621">
        <v>86.405319213867188</v>
      </c>
      <c r="H621">
        <f>SQRT(Sayfa1!D621^2+Sayfa1!E621^2)</f>
        <v>4.0101339432172409</v>
      </c>
      <c r="I621">
        <f>SUM(Sayfa1!G598:G621)</f>
        <v>5.7682991027832031</v>
      </c>
    </row>
    <row r="622" spans="1:9" x14ac:dyDescent="0.3">
      <c r="A622">
        <v>-118.5</v>
      </c>
      <c r="B622">
        <v>34</v>
      </c>
      <c r="C622">
        <v>2025</v>
      </c>
      <c r="D622">
        <v>1</v>
      </c>
      <c r="E622">
        <v>26</v>
      </c>
      <c r="F622">
        <f>Sayfa1!C622-273.15</f>
        <v>10.849176025390648</v>
      </c>
      <c r="G622">
        <v>78.7855224609375</v>
      </c>
      <c r="H622">
        <f>SQRT(Sayfa1!D622^2+Sayfa1!E622^2)</f>
        <v>4.2896817238915315</v>
      </c>
      <c r="I622">
        <f>SUM(Sayfa1!G599:G622)</f>
        <v>6.3529014587402344</v>
      </c>
    </row>
    <row r="623" spans="1:9" x14ac:dyDescent="0.3">
      <c r="A623">
        <v>-118.5</v>
      </c>
      <c r="B623">
        <v>34</v>
      </c>
      <c r="C623">
        <v>2025</v>
      </c>
      <c r="D623">
        <v>1</v>
      </c>
      <c r="E623">
        <v>26</v>
      </c>
      <c r="F623">
        <f>Sayfa1!C623-273.15</f>
        <v>10.457177734375023</v>
      </c>
      <c r="G623">
        <v>82.13238525390625</v>
      </c>
      <c r="H623">
        <f>SQRT(Sayfa1!D623^2+Sayfa1!E623^2)</f>
        <v>4.1828063433154847</v>
      </c>
      <c r="I623">
        <f>SUM(Sayfa1!G600:G623)</f>
        <v>7.2216987609863281</v>
      </c>
    </row>
    <row r="624" spans="1:9" x14ac:dyDescent="0.3">
      <c r="A624">
        <v>-118.5</v>
      </c>
      <c r="B624">
        <v>34</v>
      </c>
      <c r="C624">
        <v>2025</v>
      </c>
      <c r="D624">
        <v>1</v>
      </c>
      <c r="E624">
        <v>26</v>
      </c>
      <c r="F624">
        <f>Sayfa1!C624-273.15</f>
        <v>10.079034423828148</v>
      </c>
      <c r="G624">
        <v>85.755813598632813</v>
      </c>
      <c r="H624">
        <f>SQRT(Sayfa1!D624^2+Sayfa1!E624^2)</f>
        <v>2.7892340691556052</v>
      </c>
      <c r="I624">
        <f>SUM(Sayfa1!G601:G624)</f>
        <v>8.8548660278320313</v>
      </c>
    </row>
    <row r="625" spans="1:9" x14ac:dyDescent="0.3">
      <c r="A625">
        <v>-118.5</v>
      </c>
      <c r="B625">
        <v>34</v>
      </c>
      <c r="C625">
        <v>2025</v>
      </c>
      <c r="D625">
        <v>1</v>
      </c>
      <c r="E625">
        <v>26</v>
      </c>
      <c r="F625">
        <f>Sayfa1!C625-273.15</f>
        <v>10.127740478515648</v>
      </c>
      <c r="G625">
        <v>79.789169311523438</v>
      </c>
      <c r="H625">
        <f>SQRT(Sayfa1!D625^2+Sayfa1!E625^2)</f>
        <v>3.3124424085145621</v>
      </c>
      <c r="I625">
        <f>SUM(Sayfa1!G602:G625)</f>
        <v>9.7837448120117188</v>
      </c>
    </row>
    <row r="626" spans="1:9" x14ac:dyDescent="0.3">
      <c r="A626">
        <v>-118.5</v>
      </c>
      <c r="B626">
        <v>34</v>
      </c>
      <c r="C626">
        <v>2025</v>
      </c>
      <c r="D626">
        <v>1</v>
      </c>
      <c r="E626">
        <v>27</v>
      </c>
      <c r="F626">
        <f>Sayfa1!C626-273.15</f>
        <v>10.299401855468773</v>
      </c>
      <c r="G626">
        <v>78.049591064453125</v>
      </c>
      <c r="H626">
        <f>SQRT(Sayfa1!D626^2+Sayfa1!E626^2)</f>
        <v>3.258691051520803</v>
      </c>
      <c r="I626">
        <f>SUM(Sayfa1!G603:G626)</f>
        <v>10.388374328613281</v>
      </c>
    </row>
    <row r="627" spans="1:9" x14ac:dyDescent="0.3">
      <c r="A627">
        <v>-118.5</v>
      </c>
      <c r="B627">
        <v>34</v>
      </c>
      <c r="C627">
        <v>2025</v>
      </c>
      <c r="D627">
        <v>1</v>
      </c>
      <c r="E627">
        <v>27</v>
      </c>
      <c r="F627">
        <f>Sayfa1!C627-273.15</f>
        <v>10.216088867187523</v>
      </c>
      <c r="G627">
        <v>83.12847900390625</v>
      </c>
      <c r="H627">
        <f>SQRT(Sayfa1!D627^2+Sayfa1!E627^2)</f>
        <v>3.1122620406548998</v>
      </c>
      <c r="I627">
        <f>SUM(Sayfa1!G604:G627)</f>
        <v>10.578632354736328</v>
      </c>
    </row>
    <row r="628" spans="1:9" x14ac:dyDescent="0.3">
      <c r="A628">
        <v>-118.5</v>
      </c>
      <c r="B628">
        <v>34</v>
      </c>
      <c r="C628">
        <v>2025</v>
      </c>
      <c r="D628">
        <v>1</v>
      </c>
      <c r="E628">
        <v>27</v>
      </c>
      <c r="F628">
        <f>Sayfa1!C628-273.15</f>
        <v>10.140344238281273</v>
      </c>
      <c r="G628">
        <v>83.127716064453125</v>
      </c>
      <c r="H628">
        <f>SQRT(Sayfa1!D628^2+Sayfa1!E628^2)</f>
        <v>2.780162071307918</v>
      </c>
      <c r="I628">
        <f>SUM(Sayfa1!G605:G628)</f>
        <v>10.827064514160156</v>
      </c>
    </row>
    <row r="629" spans="1:9" x14ac:dyDescent="0.3">
      <c r="A629">
        <v>-118.5</v>
      </c>
      <c r="B629">
        <v>34</v>
      </c>
      <c r="C629">
        <v>2025</v>
      </c>
      <c r="D629">
        <v>1</v>
      </c>
      <c r="E629">
        <v>27</v>
      </c>
      <c r="F629">
        <f>Sayfa1!C629-273.15</f>
        <v>9.8381591796875227</v>
      </c>
      <c r="G629">
        <v>81.184005737304688</v>
      </c>
      <c r="H629">
        <f>SQRT(Sayfa1!D629^2+Sayfa1!E629^2)</f>
        <v>2.6192001875420616</v>
      </c>
      <c r="I629">
        <f>SUM(Sayfa1!G606:G629)</f>
        <v>11.559963226318359</v>
      </c>
    </row>
    <row r="630" spans="1:9" x14ac:dyDescent="0.3">
      <c r="A630">
        <v>-118.5</v>
      </c>
      <c r="B630">
        <v>34</v>
      </c>
      <c r="C630">
        <v>2025</v>
      </c>
      <c r="D630">
        <v>1</v>
      </c>
      <c r="E630">
        <v>27</v>
      </c>
      <c r="F630">
        <f>Sayfa1!C630-273.15</f>
        <v>9.5916992187500227</v>
      </c>
      <c r="G630">
        <v>82.6302490234375</v>
      </c>
      <c r="H630">
        <f>SQRT(Sayfa1!D630^2+Sayfa1!E630^2)</f>
        <v>2.6124589803621157</v>
      </c>
      <c r="I630">
        <f>SUM(Sayfa1!G607:G630)</f>
        <v>12.116432189941406</v>
      </c>
    </row>
    <row r="631" spans="1:9" x14ac:dyDescent="0.3">
      <c r="A631">
        <v>-118.5</v>
      </c>
      <c r="B631">
        <v>34</v>
      </c>
      <c r="C631">
        <v>2025</v>
      </c>
      <c r="D631">
        <v>1</v>
      </c>
      <c r="E631">
        <v>27</v>
      </c>
      <c r="F631">
        <f>Sayfa1!C631-273.15</f>
        <v>9.3628173828125227</v>
      </c>
      <c r="G631">
        <v>84.141876220703125</v>
      </c>
      <c r="H631">
        <f>SQRT(Sayfa1!D631^2+Sayfa1!E631^2)</f>
        <v>2.6162594490014057</v>
      </c>
      <c r="I631">
        <f>SUM(Sayfa1!G608:G631)</f>
        <v>12.310981750488281</v>
      </c>
    </row>
    <row r="632" spans="1:9" x14ac:dyDescent="0.3">
      <c r="A632">
        <v>-118.5</v>
      </c>
      <c r="B632">
        <v>34</v>
      </c>
      <c r="C632">
        <v>2025</v>
      </c>
      <c r="D632">
        <v>1</v>
      </c>
      <c r="E632">
        <v>27</v>
      </c>
      <c r="F632">
        <f>Sayfa1!C632-273.15</f>
        <v>9.1137329101562727</v>
      </c>
      <c r="G632">
        <v>85.488845825195313</v>
      </c>
      <c r="H632">
        <f>SQRT(Sayfa1!D632^2+Sayfa1!E632^2)</f>
        <v>3.3051830784565941</v>
      </c>
      <c r="I632">
        <f>SUM(Sayfa1!G609:G632)</f>
        <v>12.126445770263672</v>
      </c>
    </row>
    <row r="633" spans="1:9" x14ac:dyDescent="0.3">
      <c r="A633">
        <v>-118.5</v>
      </c>
      <c r="B633">
        <v>34</v>
      </c>
      <c r="C633">
        <v>2025</v>
      </c>
      <c r="D633">
        <v>1</v>
      </c>
      <c r="E633">
        <v>27</v>
      </c>
      <c r="F633">
        <f>Sayfa1!C633-273.15</f>
        <v>8.5791870117187727</v>
      </c>
      <c r="G633">
        <v>85.525787353515625</v>
      </c>
      <c r="H633">
        <f>SQRT(Sayfa1!D633^2+Sayfa1!E633^2)</f>
        <v>3.74902361667103</v>
      </c>
      <c r="I633">
        <f>SUM(Sayfa1!G610:G633)</f>
        <v>12.749195098876953</v>
      </c>
    </row>
    <row r="634" spans="1:9" x14ac:dyDescent="0.3">
      <c r="A634">
        <v>-118.5</v>
      </c>
      <c r="B634">
        <v>34</v>
      </c>
      <c r="C634">
        <v>2025</v>
      </c>
      <c r="D634">
        <v>1</v>
      </c>
      <c r="E634">
        <v>27</v>
      </c>
      <c r="F634">
        <f>Sayfa1!C634-273.15</f>
        <v>8.1534667968750227</v>
      </c>
      <c r="G634">
        <v>86.4451904296875</v>
      </c>
      <c r="H634">
        <f>SQRT(Sayfa1!D634^2+Sayfa1!E634^2)</f>
        <v>3.5758603261481645</v>
      </c>
      <c r="I634">
        <f>SUM(Sayfa1!G611:G634)</f>
        <v>13.000965118408203</v>
      </c>
    </row>
    <row r="635" spans="1:9" x14ac:dyDescent="0.3">
      <c r="A635">
        <v>-118.5</v>
      </c>
      <c r="B635">
        <v>34</v>
      </c>
      <c r="C635">
        <v>2025</v>
      </c>
      <c r="D635">
        <v>1</v>
      </c>
      <c r="E635">
        <v>27</v>
      </c>
      <c r="F635">
        <f>Sayfa1!C635-273.15</f>
        <v>8.0054565429687727</v>
      </c>
      <c r="G635">
        <v>87.703567504882813</v>
      </c>
      <c r="H635">
        <f>SQRT(Sayfa1!D635^2+Sayfa1!E635^2)</f>
        <v>3.1850810936152523</v>
      </c>
      <c r="I635">
        <f>SUM(Sayfa1!G612:G635)</f>
        <v>12.87841796875</v>
      </c>
    </row>
    <row r="636" spans="1:9" x14ac:dyDescent="0.3">
      <c r="A636">
        <v>-118.5</v>
      </c>
      <c r="B636">
        <v>34</v>
      </c>
      <c r="C636">
        <v>2025</v>
      </c>
      <c r="D636">
        <v>1</v>
      </c>
      <c r="E636">
        <v>27</v>
      </c>
      <c r="F636">
        <f>Sayfa1!C636-273.15</f>
        <v>8.6649719238281477</v>
      </c>
      <c r="G636">
        <v>86.623199462890625</v>
      </c>
      <c r="H636">
        <f>SQRT(Sayfa1!D636^2+Sayfa1!E636^2)</f>
        <v>3.4211571962339216</v>
      </c>
      <c r="I636">
        <f>SUM(Sayfa1!G613:G636)</f>
        <v>12.608051300048828</v>
      </c>
    </row>
    <row r="637" spans="1:9" x14ac:dyDescent="0.3">
      <c r="A637">
        <v>-118.5</v>
      </c>
      <c r="B637">
        <v>34</v>
      </c>
      <c r="C637">
        <v>2025</v>
      </c>
      <c r="D637">
        <v>1</v>
      </c>
      <c r="E637">
        <v>27</v>
      </c>
      <c r="F637">
        <f>Sayfa1!C637-273.15</f>
        <v>8.6597839355468977</v>
      </c>
      <c r="G637">
        <v>86.770599365234375</v>
      </c>
      <c r="H637">
        <f>SQRT(Sayfa1!D637^2+Sayfa1!E637^2)</f>
        <v>3.4976263599216155</v>
      </c>
      <c r="I637">
        <f>SUM(Sayfa1!G614:G637)</f>
        <v>12.545585632324219</v>
      </c>
    </row>
    <row r="638" spans="1:9" x14ac:dyDescent="0.3">
      <c r="A638">
        <v>-118.5</v>
      </c>
      <c r="B638">
        <v>34</v>
      </c>
      <c r="C638">
        <v>2025</v>
      </c>
      <c r="D638">
        <v>1</v>
      </c>
      <c r="E638">
        <v>27</v>
      </c>
      <c r="F638">
        <f>Sayfa1!C638-273.15</f>
        <v>8.7529846191406477</v>
      </c>
      <c r="G638">
        <v>86.064910888671875</v>
      </c>
      <c r="H638">
        <f>SQRT(Sayfa1!D638^2+Sayfa1!E638^2)</f>
        <v>3.0880617470786316</v>
      </c>
      <c r="I638">
        <f>SUM(Sayfa1!G615:G638)</f>
        <v>12.251377105712891</v>
      </c>
    </row>
    <row r="639" spans="1:9" x14ac:dyDescent="0.3">
      <c r="A639">
        <v>-118.5</v>
      </c>
      <c r="B639">
        <v>34</v>
      </c>
      <c r="C639">
        <v>2025</v>
      </c>
      <c r="D639">
        <v>1</v>
      </c>
      <c r="E639">
        <v>27</v>
      </c>
      <c r="F639">
        <f>Sayfa1!C639-273.15</f>
        <v>8.8551269531250227</v>
      </c>
      <c r="G639">
        <v>85.001953125</v>
      </c>
      <c r="H639">
        <f>SQRT(Sayfa1!D639^2+Sayfa1!E639^2)</f>
        <v>2.8397913788429165</v>
      </c>
      <c r="I639">
        <f>SUM(Sayfa1!G616:G639)</f>
        <v>12.156486511230469</v>
      </c>
    </row>
    <row r="640" spans="1:9" x14ac:dyDescent="0.3">
      <c r="A640">
        <v>-118.5</v>
      </c>
      <c r="B640">
        <v>34</v>
      </c>
      <c r="C640">
        <v>2025</v>
      </c>
      <c r="D640">
        <v>1</v>
      </c>
      <c r="E640">
        <v>27</v>
      </c>
      <c r="F640">
        <f>Sayfa1!C640-273.15</f>
        <v>8.8819213867187727</v>
      </c>
      <c r="G640">
        <v>83.593551635742188</v>
      </c>
      <c r="H640">
        <f>SQRT(Sayfa1!D640^2+Sayfa1!E640^2)</f>
        <v>2.7197561279552716</v>
      </c>
      <c r="I640">
        <f>SUM(Sayfa1!G617:G640)</f>
        <v>12.04681396484375</v>
      </c>
    </row>
    <row r="641" spans="1:9" x14ac:dyDescent="0.3">
      <c r="A641">
        <v>-118.5</v>
      </c>
      <c r="B641">
        <v>34</v>
      </c>
      <c r="C641">
        <v>2025</v>
      </c>
      <c r="D641">
        <v>1</v>
      </c>
      <c r="E641">
        <v>27</v>
      </c>
      <c r="F641">
        <f>Sayfa1!C641-273.15</f>
        <v>8.8610168457031477</v>
      </c>
      <c r="G641">
        <v>82.420944213867188</v>
      </c>
      <c r="H641">
        <f>SQRT(Sayfa1!D641^2+Sayfa1!E641^2)</f>
        <v>2.5630176411329906</v>
      </c>
      <c r="I641">
        <f>SUM(Sayfa1!G618:G641)</f>
        <v>11.792659759521484</v>
      </c>
    </row>
    <row r="642" spans="1:9" x14ac:dyDescent="0.3">
      <c r="A642">
        <v>-118.5</v>
      </c>
      <c r="B642">
        <v>34</v>
      </c>
      <c r="C642">
        <v>2025</v>
      </c>
      <c r="D642">
        <v>1</v>
      </c>
      <c r="E642">
        <v>27</v>
      </c>
      <c r="F642">
        <f>Sayfa1!C642-273.15</f>
        <v>8.8292480468750227</v>
      </c>
      <c r="G642">
        <v>82.68621826171875</v>
      </c>
      <c r="H642">
        <f>SQRT(Sayfa1!D642^2+Sayfa1!E642^2)</f>
        <v>2.1385841746289915</v>
      </c>
      <c r="I642">
        <f>SUM(Sayfa1!G619:G642)</f>
        <v>11.270999908447266</v>
      </c>
    </row>
    <row r="643" spans="1:9" x14ac:dyDescent="0.3">
      <c r="A643">
        <v>-118.5</v>
      </c>
      <c r="B643">
        <v>34</v>
      </c>
      <c r="C643">
        <v>2025</v>
      </c>
      <c r="D643">
        <v>1</v>
      </c>
      <c r="E643">
        <v>27</v>
      </c>
      <c r="F643">
        <f>Sayfa1!C643-273.15</f>
        <v>8.7904296875000227</v>
      </c>
      <c r="G643">
        <v>79.557830810546875</v>
      </c>
      <c r="H643">
        <f>SQRT(Sayfa1!D643^2+Sayfa1!E643^2)</f>
        <v>1.9533649629167513</v>
      </c>
      <c r="I643">
        <f>SUM(Sayfa1!G620:G643)</f>
        <v>10.991573333740234</v>
      </c>
    </row>
    <row r="644" spans="1:9" x14ac:dyDescent="0.3">
      <c r="A644">
        <v>-118.5</v>
      </c>
      <c r="B644">
        <v>34</v>
      </c>
      <c r="C644">
        <v>2025</v>
      </c>
      <c r="D644">
        <v>1</v>
      </c>
      <c r="E644">
        <v>27</v>
      </c>
      <c r="F644">
        <f>Sayfa1!C644-273.15</f>
        <v>9.4228454589843977</v>
      </c>
      <c r="G644">
        <v>72.11395263671875</v>
      </c>
      <c r="H644">
        <f>SQRT(Sayfa1!D644^2+Sayfa1!E644^2)</f>
        <v>1.6426364099376565</v>
      </c>
      <c r="I644">
        <f>SUM(Sayfa1!G621:G644)</f>
        <v>10.484218597412109</v>
      </c>
    </row>
    <row r="645" spans="1:9" x14ac:dyDescent="0.3">
      <c r="A645">
        <v>-118.5</v>
      </c>
      <c r="B645">
        <v>34</v>
      </c>
      <c r="C645">
        <v>2025</v>
      </c>
      <c r="D645">
        <v>1</v>
      </c>
      <c r="E645">
        <v>27</v>
      </c>
      <c r="F645">
        <f>Sayfa1!C645-273.15</f>
        <v>10.414910888671898</v>
      </c>
      <c r="G645">
        <v>64.413986206054688</v>
      </c>
      <c r="H645">
        <f>SQRT(Sayfa1!D645^2+Sayfa1!E645^2)</f>
        <v>1.3398813248146448</v>
      </c>
      <c r="I645">
        <f>SUM(Sayfa1!G622:G645)</f>
        <v>8.9774131774902344</v>
      </c>
    </row>
    <row r="646" spans="1:9" x14ac:dyDescent="0.3">
      <c r="A646">
        <v>-118.5</v>
      </c>
      <c r="B646">
        <v>34</v>
      </c>
      <c r="C646">
        <v>2025</v>
      </c>
      <c r="D646">
        <v>1</v>
      </c>
      <c r="E646">
        <v>27</v>
      </c>
      <c r="F646">
        <f>Sayfa1!C646-273.15</f>
        <v>11.490380859375023</v>
      </c>
      <c r="G646">
        <v>56.0269775390625</v>
      </c>
      <c r="H646">
        <f>SQRT(Sayfa1!D646^2+Sayfa1!E646^2)</f>
        <v>1.4207474307146801</v>
      </c>
      <c r="I646">
        <f>SUM(Sayfa1!G623:G646)</f>
        <v>8.3851814270019531</v>
      </c>
    </row>
    <row r="647" spans="1:9" x14ac:dyDescent="0.3">
      <c r="A647">
        <v>-118.5</v>
      </c>
      <c r="B647">
        <v>34</v>
      </c>
      <c r="C647">
        <v>2025</v>
      </c>
      <c r="D647">
        <v>1</v>
      </c>
      <c r="E647">
        <v>27</v>
      </c>
      <c r="F647">
        <f>Sayfa1!C647-273.15</f>
        <v>12.110925292968773</v>
      </c>
      <c r="G647">
        <v>53.275680541992188</v>
      </c>
      <c r="H647">
        <f>SQRT(Sayfa1!D647^2+Sayfa1!E647^2)</f>
        <v>0.14083140180100739</v>
      </c>
      <c r="I647">
        <f>SUM(Sayfa1!G624:G647)</f>
        <v>7.5144767761230469</v>
      </c>
    </row>
    <row r="648" spans="1:9" x14ac:dyDescent="0.3">
      <c r="A648">
        <v>-118.5</v>
      </c>
      <c r="B648">
        <v>34</v>
      </c>
      <c r="C648">
        <v>2025</v>
      </c>
      <c r="D648">
        <v>1</v>
      </c>
      <c r="E648">
        <v>27</v>
      </c>
      <c r="F648">
        <f>Sayfa1!C648-273.15</f>
        <v>12.450402832031273</v>
      </c>
      <c r="G648">
        <v>51.861557006835938</v>
      </c>
      <c r="H648">
        <f>SQRT(Sayfa1!D648^2+Sayfa1!E648^2)</f>
        <v>1.6717521381271845</v>
      </c>
      <c r="I648">
        <f>SUM(Sayfa1!G625:G648)</f>
        <v>5.8693885803222656</v>
      </c>
    </row>
    <row r="649" spans="1:9" x14ac:dyDescent="0.3">
      <c r="A649">
        <v>-118.5</v>
      </c>
      <c r="B649">
        <v>34</v>
      </c>
      <c r="C649">
        <v>2025</v>
      </c>
      <c r="D649">
        <v>1</v>
      </c>
      <c r="E649">
        <v>27</v>
      </c>
      <c r="F649">
        <f>Sayfa1!C649-273.15</f>
        <v>12.698083496093773</v>
      </c>
      <c r="G649">
        <v>53.004653930664063</v>
      </c>
      <c r="H649">
        <f>SQRT(Sayfa1!D649^2+Sayfa1!E649^2)</f>
        <v>2.3160978526284191</v>
      </c>
      <c r="I649">
        <f>SUM(Sayfa1!G626:G649)</f>
        <v>4.9309730529785156</v>
      </c>
    </row>
    <row r="650" spans="1:9" x14ac:dyDescent="0.3">
      <c r="A650">
        <v>-118.5</v>
      </c>
      <c r="B650">
        <v>34</v>
      </c>
      <c r="C650">
        <v>2025</v>
      </c>
      <c r="D650">
        <v>1</v>
      </c>
      <c r="E650">
        <v>28</v>
      </c>
      <c r="F650">
        <f>Sayfa1!C650-273.15</f>
        <v>12.647454833984398</v>
      </c>
      <c r="G650">
        <v>55.383758544921875</v>
      </c>
      <c r="H650">
        <f>SQRT(Sayfa1!D650^2+Sayfa1!E650^2)</f>
        <v>2.7658705804800712</v>
      </c>
      <c r="I650">
        <f>SUM(Sayfa1!G627:G650)</f>
        <v>4.3015480041503906</v>
      </c>
    </row>
    <row r="651" spans="1:9" x14ac:dyDescent="0.3">
      <c r="A651">
        <v>-118.5</v>
      </c>
      <c r="B651">
        <v>34</v>
      </c>
      <c r="C651">
        <v>2025</v>
      </c>
      <c r="D651">
        <v>1</v>
      </c>
      <c r="E651">
        <v>28</v>
      </c>
      <c r="F651">
        <f>Sayfa1!C651-273.15</f>
        <v>12.114892578125023</v>
      </c>
      <c r="G651">
        <v>62.510757446289063</v>
      </c>
      <c r="H651">
        <f>SQRT(Sayfa1!D651^2+Sayfa1!E651^2)</f>
        <v>3.6923424447223172</v>
      </c>
      <c r="I651">
        <f>SUM(Sayfa1!G628:G651)</f>
        <v>4.0631294250488281</v>
      </c>
    </row>
    <row r="652" spans="1:9" x14ac:dyDescent="0.3">
      <c r="A652">
        <v>-118.5</v>
      </c>
      <c r="B652">
        <v>34</v>
      </c>
      <c r="C652">
        <v>2025</v>
      </c>
      <c r="D652">
        <v>1</v>
      </c>
      <c r="E652">
        <v>28</v>
      </c>
      <c r="F652">
        <f>Sayfa1!C652-273.15</f>
        <v>11.633081054687523</v>
      </c>
      <c r="G652">
        <v>67.510330200195313</v>
      </c>
      <c r="H652">
        <f>SQRT(Sayfa1!D652^2+Sayfa1!E652^2)</f>
        <v>3.4922082700901105</v>
      </c>
      <c r="I652">
        <f>SUM(Sayfa1!G629:G652)</f>
        <v>3.7693977355957031</v>
      </c>
    </row>
    <row r="653" spans="1:9" x14ac:dyDescent="0.3">
      <c r="A653">
        <v>-118.5</v>
      </c>
      <c r="B653">
        <v>34</v>
      </c>
      <c r="C653">
        <v>2025</v>
      </c>
      <c r="D653">
        <v>1</v>
      </c>
      <c r="E653">
        <v>28</v>
      </c>
      <c r="F653">
        <f>Sayfa1!C653-273.15</f>
        <v>11.519616699218773</v>
      </c>
      <c r="G653">
        <v>69.278945922851563</v>
      </c>
      <c r="H653">
        <f>SQRT(Sayfa1!D653^2+Sayfa1!E653^2)</f>
        <v>2.7536659450810372</v>
      </c>
      <c r="I653">
        <f>SUM(Sayfa1!G630:G653)</f>
        <v>2.9330253601074219</v>
      </c>
    </row>
    <row r="654" spans="1:9" x14ac:dyDescent="0.3">
      <c r="A654">
        <v>-118.5</v>
      </c>
      <c r="B654">
        <v>34</v>
      </c>
      <c r="C654">
        <v>2025</v>
      </c>
      <c r="D654">
        <v>1</v>
      </c>
      <c r="E654">
        <v>28</v>
      </c>
      <c r="F654">
        <f>Sayfa1!C654-273.15</f>
        <v>11.501763916015648</v>
      </c>
      <c r="G654">
        <v>70.83966064453125</v>
      </c>
      <c r="H654">
        <f>SQRT(Sayfa1!D654^2+Sayfa1!E654^2)</f>
        <v>2.1585320468579621</v>
      </c>
      <c r="I654">
        <f>SUM(Sayfa1!G631:G654)</f>
        <v>2.1662712097167969</v>
      </c>
    </row>
    <row r="655" spans="1:9" x14ac:dyDescent="0.3">
      <c r="A655">
        <v>-118.5</v>
      </c>
      <c r="B655">
        <v>34</v>
      </c>
      <c r="C655">
        <v>2025</v>
      </c>
      <c r="D655">
        <v>1</v>
      </c>
      <c r="E655">
        <v>28</v>
      </c>
      <c r="F655">
        <f>Sayfa1!C655-273.15</f>
        <v>11.529229736328148</v>
      </c>
      <c r="G655">
        <v>72.78863525390625</v>
      </c>
      <c r="H655">
        <f>SQRT(Sayfa1!D655^2+Sayfa1!E655^2)</f>
        <v>1.5924944739311591</v>
      </c>
      <c r="I655">
        <f>SUM(Sayfa1!G632:G655)</f>
        <v>1.65557861328125</v>
      </c>
    </row>
    <row r="656" spans="1:9" x14ac:dyDescent="0.3">
      <c r="A656">
        <v>-118.5</v>
      </c>
      <c r="B656">
        <v>34</v>
      </c>
      <c r="C656">
        <v>2025</v>
      </c>
      <c r="D656">
        <v>1</v>
      </c>
      <c r="E656">
        <v>28</v>
      </c>
      <c r="F656">
        <f>Sayfa1!C656-273.15</f>
        <v>11.529290771484398</v>
      </c>
      <c r="G656">
        <v>76.744613647460938</v>
      </c>
      <c r="H656">
        <f>SQRT(Sayfa1!D656^2+Sayfa1!E656^2)</f>
        <v>1.2748616394512617</v>
      </c>
      <c r="I656">
        <f>SUM(Sayfa1!G633:G656)</f>
        <v>1.5501976013183594</v>
      </c>
    </row>
    <row r="657" spans="1:9" x14ac:dyDescent="0.3">
      <c r="A657">
        <v>-118.5</v>
      </c>
      <c r="B657">
        <v>34</v>
      </c>
      <c r="C657">
        <v>2025</v>
      </c>
      <c r="D657">
        <v>1</v>
      </c>
      <c r="E657">
        <v>28</v>
      </c>
      <c r="F657">
        <f>Sayfa1!C657-273.15</f>
        <v>11.443963623046898</v>
      </c>
      <c r="G657">
        <v>80.12939453125</v>
      </c>
      <c r="H657">
        <f>SQRT(Sayfa1!D657^2+Sayfa1!E657^2)</f>
        <v>1.1663922249028413</v>
      </c>
      <c r="I657">
        <f>SUM(Sayfa1!G634:G657)</f>
        <v>0.6275177001953125</v>
      </c>
    </row>
    <row r="658" spans="1:9" x14ac:dyDescent="0.3">
      <c r="A658">
        <v>-118.5</v>
      </c>
      <c r="B658">
        <v>34</v>
      </c>
      <c r="C658">
        <v>2025</v>
      </c>
      <c r="D658">
        <v>1</v>
      </c>
      <c r="E658">
        <v>28</v>
      </c>
      <c r="F658">
        <f>Sayfa1!C658-273.15</f>
        <v>11.315454101562523</v>
      </c>
      <c r="G658">
        <v>81.100860595703125</v>
      </c>
      <c r="H658">
        <f>SQRT(Sayfa1!D658^2+Sayfa1!E658^2)</f>
        <v>1.0716574179261482</v>
      </c>
      <c r="I658">
        <f>SUM(Sayfa1!G635:G658)</f>
        <v>0.19168853759765625</v>
      </c>
    </row>
    <row r="659" spans="1:9" x14ac:dyDescent="0.3">
      <c r="A659">
        <v>-118.5</v>
      </c>
      <c r="B659">
        <v>34</v>
      </c>
      <c r="C659">
        <v>2025</v>
      </c>
      <c r="D659">
        <v>1</v>
      </c>
      <c r="E659">
        <v>28</v>
      </c>
      <c r="F659">
        <f>Sayfa1!C659-273.15</f>
        <v>11.157983398437523</v>
      </c>
      <c r="G659">
        <v>81.196914672851563</v>
      </c>
      <c r="H659">
        <f>SQRT(Sayfa1!D659^2+Sayfa1!E659^2)</f>
        <v>1.0671602431111056</v>
      </c>
      <c r="I659">
        <f>SUM(Sayfa1!G636:G659)</f>
        <v>0.1010894775390625</v>
      </c>
    </row>
    <row r="660" spans="1:9" x14ac:dyDescent="0.3">
      <c r="A660">
        <v>-118.5</v>
      </c>
      <c r="B660">
        <v>34</v>
      </c>
      <c r="C660">
        <v>2025</v>
      </c>
      <c r="D660">
        <v>1</v>
      </c>
      <c r="E660">
        <v>28</v>
      </c>
      <c r="F660">
        <f>Sayfa1!C660-273.15</f>
        <v>10.436669921875023</v>
      </c>
      <c r="G660">
        <v>89.353408813476563</v>
      </c>
      <c r="H660">
        <f>SQRT(Sayfa1!D660^2+Sayfa1!E660^2)</f>
        <v>2.0476055279999645</v>
      </c>
      <c r="I660">
        <f>SUM(Sayfa1!G637:G660)</f>
        <v>6.771087646484375E-2</v>
      </c>
    </row>
    <row r="661" spans="1:9" x14ac:dyDescent="0.3">
      <c r="A661">
        <v>-118.5</v>
      </c>
      <c r="B661">
        <v>34</v>
      </c>
      <c r="C661">
        <v>2025</v>
      </c>
      <c r="D661">
        <v>1</v>
      </c>
      <c r="E661">
        <v>28</v>
      </c>
      <c r="F661">
        <f>Sayfa1!C661-273.15</f>
        <v>10.271813964843773</v>
      </c>
      <c r="G661">
        <v>86.608322143554688</v>
      </c>
      <c r="H661">
        <f>SQRT(Sayfa1!D661^2+Sayfa1!E661^2)</f>
        <v>3.035475029929366</v>
      </c>
      <c r="I661">
        <f>SUM(Sayfa1!G638:G661)</f>
        <v>5.1975250244140625E-2</v>
      </c>
    </row>
    <row r="662" spans="1:9" x14ac:dyDescent="0.3">
      <c r="A662">
        <v>-118.5</v>
      </c>
      <c r="B662">
        <v>34</v>
      </c>
      <c r="C662">
        <v>2025</v>
      </c>
      <c r="D662">
        <v>1</v>
      </c>
      <c r="E662">
        <v>28</v>
      </c>
      <c r="F662">
        <f>Sayfa1!C662-273.15</f>
        <v>10.333032226562523</v>
      </c>
      <c r="G662">
        <v>81.259262084960938</v>
      </c>
      <c r="H662">
        <f>SQRT(Sayfa1!D662^2+Sayfa1!E662^2)</f>
        <v>2.9948711876098826</v>
      </c>
      <c r="I662">
        <f>SUM(Sayfa1!G639:G662)</f>
        <v>4.4345855712890625E-2</v>
      </c>
    </row>
    <row r="663" spans="1:9" x14ac:dyDescent="0.3">
      <c r="A663">
        <v>-118.5</v>
      </c>
      <c r="B663">
        <v>34</v>
      </c>
      <c r="C663">
        <v>2025</v>
      </c>
      <c r="D663">
        <v>1</v>
      </c>
      <c r="E663">
        <v>28</v>
      </c>
      <c r="F663">
        <f>Sayfa1!C663-273.15</f>
        <v>10.253015136718773</v>
      </c>
      <c r="G663">
        <v>80.03314208984375</v>
      </c>
      <c r="H663">
        <f>SQRT(Sayfa1!D663^2+Sayfa1!E663^2)</f>
        <v>3.0966870477156445</v>
      </c>
      <c r="I663">
        <f>SUM(Sayfa1!G640:G663)</f>
        <v>3.8623809814453125E-2</v>
      </c>
    </row>
    <row r="664" spans="1:9" x14ac:dyDescent="0.3">
      <c r="A664">
        <v>-118.5</v>
      </c>
      <c r="B664">
        <v>34</v>
      </c>
      <c r="C664">
        <v>2025</v>
      </c>
      <c r="D664">
        <v>1</v>
      </c>
      <c r="E664">
        <v>28</v>
      </c>
      <c r="F664">
        <f>Sayfa1!C664-273.15</f>
        <v>10.200036621093773</v>
      </c>
      <c r="G664">
        <v>81.005416870117188</v>
      </c>
      <c r="H664">
        <f>SQRT(Sayfa1!D664^2+Sayfa1!E664^2)</f>
        <v>3.0197551060298378</v>
      </c>
      <c r="I664">
        <f>SUM(Sayfa1!G641:G664)</f>
        <v>3.0994415283203125E-2</v>
      </c>
    </row>
    <row r="665" spans="1:9" x14ac:dyDescent="0.3">
      <c r="A665">
        <v>-118.5</v>
      </c>
      <c r="B665">
        <v>34</v>
      </c>
      <c r="C665">
        <v>2025</v>
      </c>
      <c r="D665">
        <v>1</v>
      </c>
      <c r="E665">
        <v>28</v>
      </c>
      <c r="F665">
        <f>Sayfa1!C665-273.15</f>
        <v>9.9925170898437727</v>
      </c>
      <c r="G665">
        <v>81.999801635742188</v>
      </c>
      <c r="H665">
        <f>SQRT(Sayfa1!D665^2+Sayfa1!E665^2)</f>
        <v>2.2414333243561448</v>
      </c>
      <c r="I665">
        <f>SUM(Sayfa1!G642:G665)</f>
        <v>2.193450927734375E-2</v>
      </c>
    </row>
    <row r="666" spans="1:9" x14ac:dyDescent="0.3">
      <c r="A666">
        <v>-118.5</v>
      </c>
      <c r="B666">
        <v>34</v>
      </c>
      <c r="C666">
        <v>2025</v>
      </c>
      <c r="D666">
        <v>1</v>
      </c>
      <c r="E666">
        <v>28</v>
      </c>
      <c r="F666">
        <f>Sayfa1!C666-273.15</f>
        <v>9.6324096679687727</v>
      </c>
      <c r="G666">
        <v>81.439437866210938</v>
      </c>
      <c r="H666">
        <f>SQRT(Sayfa1!D666^2+Sayfa1!E666^2)</f>
        <v>1.3240338977318085</v>
      </c>
      <c r="I666">
        <f>SUM(Sayfa1!G643:G666)</f>
        <v>2.002716064453125E-2</v>
      </c>
    </row>
    <row r="667" spans="1:9" x14ac:dyDescent="0.3">
      <c r="A667">
        <v>-118.5</v>
      </c>
      <c r="B667">
        <v>34</v>
      </c>
      <c r="C667">
        <v>2025</v>
      </c>
      <c r="D667">
        <v>1</v>
      </c>
      <c r="E667">
        <v>28</v>
      </c>
      <c r="F667">
        <f>Sayfa1!C667-273.15</f>
        <v>9.3229003906250227</v>
      </c>
      <c r="G667">
        <v>72.562057495117188</v>
      </c>
      <c r="H667">
        <f>SQRT(Sayfa1!D667^2+Sayfa1!E667^2)</f>
        <v>0.73193677684582936</v>
      </c>
      <c r="I667">
        <f>SUM(Sayfa1!G644:G667)</f>
        <v>2.002716064453125E-2</v>
      </c>
    </row>
    <row r="668" spans="1:9" x14ac:dyDescent="0.3">
      <c r="A668">
        <v>-118.5</v>
      </c>
      <c r="B668">
        <v>34</v>
      </c>
      <c r="C668">
        <v>2025</v>
      </c>
      <c r="D668">
        <v>1</v>
      </c>
      <c r="E668">
        <v>28</v>
      </c>
      <c r="F668">
        <f>Sayfa1!C668-273.15</f>
        <v>10.420800781250023</v>
      </c>
      <c r="G668">
        <v>65.35809326171875</v>
      </c>
      <c r="H668">
        <f>SQRT(Sayfa1!D668^2+Sayfa1!E668^2)</f>
        <v>0.54763542104563434</v>
      </c>
      <c r="I668">
        <f>SUM(Sayfa1!G645:G668)</f>
        <v>2.002716064453125E-2</v>
      </c>
    </row>
    <row r="669" spans="1:9" x14ac:dyDescent="0.3">
      <c r="A669">
        <v>-118.5</v>
      </c>
      <c r="B669">
        <v>34</v>
      </c>
      <c r="C669">
        <v>2025</v>
      </c>
      <c r="D669">
        <v>1</v>
      </c>
      <c r="E669">
        <v>28</v>
      </c>
      <c r="F669">
        <f>Sayfa1!C669-273.15</f>
        <v>11.524682617187523</v>
      </c>
      <c r="G669">
        <v>62.204193115234375</v>
      </c>
      <c r="H669">
        <f>SQRT(Sayfa1!D669^2+Sayfa1!E669^2)</f>
        <v>1.6119324118179807</v>
      </c>
      <c r="I669">
        <f>SUM(Sayfa1!G646:G669)</f>
        <v>1.621246337890625E-2</v>
      </c>
    </row>
    <row r="670" spans="1:9" x14ac:dyDescent="0.3">
      <c r="A670">
        <v>-118.5</v>
      </c>
      <c r="B670">
        <v>34</v>
      </c>
      <c r="C670">
        <v>2025</v>
      </c>
      <c r="D670">
        <v>1</v>
      </c>
      <c r="E670">
        <v>28</v>
      </c>
      <c r="F670">
        <f>Sayfa1!C670-273.15</f>
        <v>12.222802734375023</v>
      </c>
      <c r="G670">
        <v>61.517410278320313</v>
      </c>
      <c r="H670">
        <f>SQRT(Sayfa1!D670^2+Sayfa1!E670^2)</f>
        <v>2.5697157770964001</v>
      </c>
      <c r="I670">
        <f>SUM(Sayfa1!G647:G670)</f>
        <v>4.76837158203125E-3</v>
      </c>
    </row>
    <row r="671" spans="1:9" x14ac:dyDescent="0.3">
      <c r="A671">
        <v>-118.5</v>
      </c>
      <c r="B671">
        <v>34</v>
      </c>
      <c r="C671">
        <v>2025</v>
      </c>
      <c r="D671">
        <v>1</v>
      </c>
      <c r="E671">
        <v>28</v>
      </c>
      <c r="F671">
        <f>Sayfa1!C671-273.15</f>
        <v>12.506799316406273</v>
      </c>
      <c r="G671">
        <v>63.547866821289063</v>
      </c>
      <c r="H671">
        <f>SQRT(Sayfa1!D671^2+Sayfa1!E671^2)</f>
        <v>3.3666436612301065</v>
      </c>
      <c r="I671">
        <f>SUM(Sayfa1!G648:G671)</f>
        <v>1.430511474609375E-3</v>
      </c>
    </row>
    <row r="672" spans="1:9" x14ac:dyDescent="0.3">
      <c r="A672">
        <v>-118.5</v>
      </c>
      <c r="B672">
        <v>34</v>
      </c>
      <c r="C672">
        <v>2025</v>
      </c>
      <c r="D672">
        <v>1</v>
      </c>
      <c r="E672">
        <v>28</v>
      </c>
      <c r="F672">
        <f>Sayfa1!C672-273.15</f>
        <v>12.702905273437523</v>
      </c>
      <c r="G672">
        <v>66.772201538085938</v>
      </c>
      <c r="H672">
        <f>SQRT(Sayfa1!D672^2+Sayfa1!E672^2)</f>
        <v>3.2160225437778061</v>
      </c>
      <c r="I672">
        <f>SUM(Sayfa1!G649:G672)</f>
        <v>0</v>
      </c>
    </row>
    <row r="673" spans="1:9" x14ac:dyDescent="0.3">
      <c r="A673">
        <v>-118.5</v>
      </c>
      <c r="B673">
        <v>34</v>
      </c>
      <c r="C673">
        <v>2025</v>
      </c>
      <c r="D673">
        <v>1</v>
      </c>
      <c r="E673">
        <v>28</v>
      </c>
      <c r="F673">
        <f>Sayfa1!C673-273.15</f>
        <v>12.550622558593773</v>
      </c>
      <c r="G673">
        <v>70.443008422851563</v>
      </c>
      <c r="H673">
        <f>SQRT(Sayfa1!D673^2+Sayfa1!E673^2)</f>
        <v>3.1515486063305804</v>
      </c>
      <c r="I673">
        <f>SUM(Sayfa1!G650:G673)</f>
        <v>0</v>
      </c>
    </row>
    <row r="674" spans="1:9" x14ac:dyDescent="0.3">
      <c r="A674">
        <v>-118.5</v>
      </c>
      <c r="B674">
        <v>34</v>
      </c>
      <c r="C674">
        <v>2025</v>
      </c>
      <c r="D674">
        <v>1</v>
      </c>
      <c r="E674">
        <v>29</v>
      </c>
      <c r="F674">
        <f>Sayfa1!C674-273.15</f>
        <v>12.327539062500023</v>
      </c>
      <c r="G674">
        <v>72.495162963867188</v>
      </c>
      <c r="H674">
        <f>SQRT(Sayfa1!D674^2+Sayfa1!E674^2)</f>
        <v>2.641457592360259</v>
      </c>
      <c r="I674">
        <f>SUM(Sayfa1!G651:G674)</f>
        <v>0</v>
      </c>
    </row>
    <row r="675" spans="1:9" x14ac:dyDescent="0.3">
      <c r="A675">
        <v>-118.5</v>
      </c>
      <c r="B675">
        <v>34</v>
      </c>
      <c r="C675">
        <v>2025</v>
      </c>
      <c r="D675">
        <v>1</v>
      </c>
      <c r="E675">
        <v>29</v>
      </c>
      <c r="F675">
        <f>Sayfa1!C675-273.15</f>
        <v>11.861901855468773</v>
      </c>
      <c r="G675">
        <v>76.25604248046875</v>
      </c>
      <c r="H675">
        <f>SQRT(Sayfa1!D675^2+Sayfa1!E675^2)</f>
        <v>2.2063942434091142</v>
      </c>
      <c r="I675">
        <f>SUM(Sayfa1!G652:G675)</f>
        <v>0</v>
      </c>
    </row>
    <row r="676" spans="1:9" x14ac:dyDescent="0.3">
      <c r="A676">
        <v>-118.5</v>
      </c>
      <c r="B676">
        <v>34</v>
      </c>
      <c r="C676">
        <v>2025</v>
      </c>
      <c r="D676">
        <v>1</v>
      </c>
      <c r="E676">
        <v>29</v>
      </c>
      <c r="F676">
        <f>Sayfa1!C676-273.15</f>
        <v>11.449182128906273</v>
      </c>
      <c r="G676">
        <v>79.601165771484375</v>
      </c>
      <c r="H676">
        <f>SQRT(Sayfa1!D676^2+Sayfa1!E676^2)</f>
        <v>1.9495918640321193</v>
      </c>
      <c r="I676">
        <f>SUM(Sayfa1!G653:G676)</f>
        <v>0</v>
      </c>
    </row>
    <row r="677" spans="1:9" x14ac:dyDescent="0.3">
      <c r="A677">
        <v>-118.5</v>
      </c>
      <c r="B677">
        <v>34</v>
      </c>
      <c r="C677">
        <v>2025</v>
      </c>
      <c r="D677">
        <v>1</v>
      </c>
      <c r="E677">
        <v>29</v>
      </c>
      <c r="F677">
        <f>Sayfa1!C677-273.15</f>
        <v>11.180932617187523</v>
      </c>
      <c r="G677">
        <v>81.252120971679688</v>
      </c>
      <c r="H677">
        <f>SQRT(Sayfa1!D677^2+Sayfa1!E677^2)</f>
        <v>1.124635116628536</v>
      </c>
      <c r="I677">
        <f>SUM(Sayfa1!G654:G677)</f>
        <v>0</v>
      </c>
    </row>
    <row r="678" spans="1:9" x14ac:dyDescent="0.3">
      <c r="A678">
        <v>-118.5</v>
      </c>
      <c r="B678">
        <v>34</v>
      </c>
      <c r="C678">
        <v>2025</v>
      </c>
      <c r="D678">
        <v>1</v>
      </c>
      <c r="E678">
        <v>29</v>
      </c>
      <c r="F678">
        <f>Sayfa1!C678-273.15</f>
        <v>10.964501953125023</v>
      </c>
      <c r="G678">
        <v>82.080032348632813</v>
      </c>
      <c r="H678">
        <f>SQRT(Sayfa1!D678^2+Sayfa1!E678^2)</f>
        <v>0.80246156531623514</v>
      </c>
      <c r="I678">
        <f>SUM(Sayfa1!G655:G678)</f>
        <v>0</v>
      </c>
    </row>
    <row r="679" spans="1:9" x14ac:dyDescent="0.3">
      <c r="A679">
        <v>-118.5</v>
      </c>
      <c r="B679">
        <v>34</v>
      </c>
      <c r="C679">
        <v>2025</v>
      </c>
      <c r="D679">
        <v>1</v>
      </c>
      <c r="E679">
        <v>29</v>
      </c>
      <c r="F679">
        <f>Sayfa1!C679-273.15</f>
        <v>10.792749023437523</v>
      </c>
      <c r="G679">
        <v>82.609100341796875</v>
      </c>
      <c r="H679">
        <f>SQRT(Sayfa1!D679^2+Sayfa1!E679^2)</f>
        <v>1.3519116186607174</v>
      </c>
      <c r="I679">
        <f>SUM(Sayfa1!G656:G679)</f>
        <v>4.76837158203125E-4</v>
      </c>
    </row>
    <row r="680" spans="1:9" x14ac:dyDescent="0.3">
      <c r="A680">
        <v>-118.5</v>
      </c>
      <c r="B680">
        <v>34</v>
      </c>
      <c r="C680">
        <v>2025</v>
      </c>
      <c r="D680">
        <v>1</v>
      </c>
      <c r="E680">
        <v>29</v>
      </c>
      <c r="F680">
        <f>Sayfa1!C680-273.15</f>
        <v>10.591088867187523</v>
      </c>
      <c r="G680">
        <v>83.898422241210938</v>
      </c>
      <c r="H680">
        <f>SQRT(Sayfa1!D680^2+Sayfa1!E680^2)</f>
        <v>2.0281326580091301</v>
      </c>
      <c r="I680">
        <f>SUM(Sayfa1!G657:G680)</f>
        <v>4.76837158203125E-4</v>
      </c>
    </row>
    <row r="681" spans="1:9" x14ac:dyDescent="0.3">
      <c r="A681">
        <v>-118.5</v>
      </c>
      <c r="B681">
        <v>34</v>
      </c>
      <c r="C681">
        <v>2025</v>
      </c>
      <c r="D681">
        <v>1</v>
      </c>
      <c r="E681">
        <v>29</v>
      </c>
      <c r="F681">
        <f>Sayfa1!C681-273.15</f>
        <v>10.444421386718773</v>
      </c>
      <c r="G681">
        <v>86.13201904296875</v>
      </c>
      <c r="H681">
        <f>SQRT(Sayfa1!D681^2+Sayfa1!E681^2)</f>
        <v>2.2882142753952772</v>
      </c>
      <c r="I681">
        <f>SUM(Sayfa1!G658:G681)</f>
        <v>3.814697265625E-3</v>
      </c>
    </row>
    <row r="682" spans="1:9" x14ac:dyDescent="0.3">
      <c r="A682">
        <v>-118.5</v>
      </c>
      <c r="B682">
        <v>34</v>
      </c>
      <c r="C682">
        <v>2025</v>
      </c>
      <c r="D682">
        <v>1</v>
      </c>
      <c r="E682">
        <v>29</v>
      </c>
      <c r="F682">
        <f>Sayfa1!C682-273.15</f>
        <v>10.313165283203148</v>
      </c>
      <c r="G682">
        <v>89.08404541015625</v>
      </c>
      <c r="H682">
        <f>SQRT(Sayfa1!D682^2+Sayfa1!E682^2)</f>
        <v>2.4690755127498383</v>
      </c>
      <c r="I682">
        <f>SUM(Sayfa1!G659:G682)</f>
        <v>1.1920928955078125E-2</v>
      </c>
    </row>
    <row r="683" spans="1:9" x14ac:dyDescent="0.3">
      <c r="A683">
        <v>-118.5</v>
      </c>
      <c r="B683">
        <v>34</v>
      </c>
      <c r="C683">
        <v>2025</v>
      </c>
      <c r="D683">
        <v>1</v>
      </c>
      <c r="E683">
        <v>29</v>
      </c>
      <c r="F683">
        <f>Sayfa1!C683-273.15</f>
        <v>10.241265869140648</v>
      </c>
      <c r="G683">
        <v>91.012649536132813</v>
      </c>
      <c r="H683">
        <f>SQRT(Sayfa1!D683^2+Sayfa1!E683^2)</f>
        <v>2.4591358322713011</v>
      </c>
      <c r="I683">
        <f>SUM(Sayfa1!G660:G683)</f>
        <v>1.7642974853515625E-2</v>
      </c>
    </row>
    <row r="684" spans="1:9" x14ac:dyDescent="0.3">
      <c r="A684">
        <v>-118.5</v>
      </c>
      <c r="B684">
        <v>34</v>
      </c>
      <c r="C684">
        <v>2025</v>
      </c>
      <c r="D684">
        <v>1</v>
      </c>
      <c r="E684">
        <v>29</v>
      </c>
      <c r="F684">
        <f>Sayfa1!C684-273.15</f>
        <v>9.7864318847656477</v>
      </c>
      <c r="G684">
        <v>92.096603393554688</v>
      </c>
      <c r="H684">
        <f>SQRT(Sayfa1!D684^2+Sayfa1!E684^2)</f>
        <v>2.9963719119258219</v>
      </c>
      <c r="I684">
        <f>SUM(Sayfa1!G661:G684)</f>
        <v>1.8596649169921875E-2</v>
      </c>
    </row>
    <row r="685" spans="1:9" x14ac:dyDescent="0.3">
      <c r="A685">
        <v>-118.5</v>
      </c>
      <c r="B685">
        <v>34</v>
      </c>
      <c r="C685">
        <v>2025</v>
      </c>
      <c r="D685">
        <v>1</v>
      </c>
      <c r="E685">
        <v>29</v>
      </c>
      <c r="F685">
        <f>Sayfa1!C685-273.15</f>
        <v>9.8929992675781477</v>
      </c>
      <c r="G685">
        <v>94.213302612304688</v>
      </c>
      <c r="H685">
        <f>SQRT(Sayfa1!D685^2+Sayfa1!E685^2)</f>
        <v>3.0153561813392304</v>
      </c>
      <c r="I685">
        <f>SUM(Sayfa1!G662:G685)</f>
        <v>1.9073486328125E-2</v>
      </c>
    </row>
    <row r="686" spans="1:9" x14ac:dyDescent="0.3">
      <c r="A686">
        <v>-118.5</v>
      </c>
      <c r="B686">
        <v>34</v>
      </c>
      <c r="C686">
        <v>2025</v>
      </c>
      <c r="D686">
        <v>1</v>
      </c>
      <c r="E686">
        <v>29</v>
      </c>
      <c r="F686">
        <f>Sayfa1!C686-273.15</f>
        <v>9.9328857421875227</v>
      </c>
      <c r="G686">
        <v>94.400848388671875</v>
      </c>
      <c r="H686">
        <f>SQRT(Sayfa1!D686^2+Sayfa1!E686^2)</f>
        <v>2.6234623086227318</v>
      </c>
      <c r="I686">
        <f>SUM(Sayfa1!G663:G686)</f>
        <v>2.002716064453125E-2</v>
      </c>
    </row>
    <row r="687" spans="1:9" x14ac:dyDescent="0.3">
      <c r="A687">
        <v>-118.5</v>
      </c>
      <c r="B687">
        <v>34</v>
      </c>
      <c r="C687">
        <v>2025</v>
      </c>
      <c r="D687">
        <v>1</v>
      </c>
      <c r="E687">
        <v>29</v>
      </c>
      <c r="F687">
        <f>Sayfa1!C687-273.15</f>
        <v>9.8517395019531477</v>
      </c>
      <c r="G687">
        <v>94.514083862304688</v>
      </c>
      <c r="H687">
        <f>SQRT(Sayfa1!D687^2+Sayfa1!E687^2)</f>
        <v>2.4060616919795437</v>
      </c>
      <c r="I687">
        <f>SUM(Sayfa1!G664:G687)</f>
        <v>2.2411346435546875E-2</v>
      </c>
    </row>
    <row r="688" spans="1:9" x14ac:dyDescent="0.3">
      <c r="A688">
        <v>-118.5</v>
      </c>
      <c r="B688">
        <v>34</v>
      </c>
      <c r="C688">
        <v>2025</v>
      </c>
      <c r="D688">
        <v>1</v>
      </c>
      <c r="E688">
        <v>29</v>
      </c>
      <c r="F688">
        <f>Sayfa1!C688-273.15</f>
        <v>9.7842956542968977</v>
      </c>
      <c r="G688">
        <v>93.911331176757813</v>
      </c>
      <c r="H688">
        <f>SQRT(Sayfa1!D688^2+Sayfa1!E688^2)</f>
        <v>2.253763761315807</v>
      </c>
      <c r="I688">
        <f>SUM(Sayfa1!G665:G688)</f>
        <v>2.3365020751953125E-2</v>
      </c>
    </row>
    <row r="689" spans="1:9" x14ac:dyDescent="0.3">
      <c r="A689">
        <v>-118.5</v>
      </c>
      <c r="B689">
        <v>34</v>
      </c>
      <c r="C689">
        <v>2025</v>
      </c>
      <c r="D689">
        <v>1</v>
      </c>
      <c r="E689">
        <v>29</v>
      </c>
      <c r="F689">
        <f>Sayfa1!C689-273.15</f>
        <v>9.7807250976562727</v>
      </c>
      <c r="G689">
        <v>93.038116455078125</v>
      </c>
      <c r="H689">
        <f>SQRT(Sayfa1!D689^2+Sayfa1!E689^2)</f>
        <v>1.8815908282896059</v>
      </c>
      <c r="I689">
        <f>SUM(Sayfa1!G666:G689)</f>
        <v>2.384185791015625E-2</v>
      </c>
    </row>
    <row r="690" spans="1:9" x14ac:dyDescent="0.3">
      <c r="A690">
        <v>-118.5</v>
      </c>
      <c r="B690">
        <v>34</v>
      </c>
      <c r="C690">
        <v>2025</v>
      </c>
      <c r="D690">
        <v>1</v>
      </c>
      <c r="E690">
        <v>29</v>
      </c>
      <c r="F690">
        <f>Sayfa1!C690-273.15</f>
        <v>9.7038818359375227</v>
      </c>
      <c r="G690">
        <v>88.991378784179688</v>
      </c>
      <c r="H690">
        <f>SQRT(Sayfa1!D690^2+Sayfa1!E690^2)</f>
        <v>1.0468458485859227</v>
      </c>
      <c r="I690">
        <f>SUM(Sayfa1!G667:G690)</f>
        <v>2.9087066650390625E-2</v>
      </c>
    </row>
    <row r="691" spans="1:9" x14ac:dyDescent="0.3">
      <c r="A691">
        <v>-118.5</v>
      </c>
      <c r="B691">
        <v>34</v>
      </c>
      <c r="C691">
        <v>2025</v>
      </c>
      <c r="D691">
        <v>1</v>
      </c>
      <c r="E691">
        <v>29</v>
      </c>
      <c r="F691">
        <f>Sayfa1!C691-273.15</f>
        <v>9.6426330566406477</v>
      </c>
      <c r="G691">
        <v>85.297653198242188</v>
      </c>
      <c r="H691">
        <f>SQRT(Sayfa1!D691^2+Sayfa1!E691^2)</f>
        <v>0.53192321221130845</v>
      </c>
      <c r="I691">
        <f>SUM(Sayfa1!G668:G691)</f>
        <v>5.6743621826171875E-2</v>
      </c>
    </row>
    <row r="692" spans="1:9" x14ac:dyDescent="0.3">
      <c r="A692">
        <v>-118.5</v>
      </c>
      <c r="B692">
        <v>34</v>
      </c>
      <c r="C692">
        <v>2025</v>
      </c>
      <c r="D692">
        <v>1</v>
      </c>
      <c r="E692">
        <v>29</v>
      </c>
      <c r="F692">
        <f>Sayfa1!C692-273.15</f>
        <v>10.446374511718773</v>
      </c>
      <c r="G692">
        <v>80.598541259765625</v>
      </c>
      <c r="H692">
        <f>SQRT(Sayfa1!D692^2+Sayfa1!E692^2)</f>
        <v>0.35030258437763862</v>
      </c>
      <c r="I692">
        <f>SUM(Sayfa1!G669:G692)</f>
        <v>5.6743621826171875E-2</v>
      </c>
    </row>
    <row r="693" spans="1:9" x14ac:dyDescent="0.3">
      <c r="A693">
        <v>-118.5</v>
      </c>
      <c r="B693">
        <v>34</v>
      </c>
      <c r="C693">
        <v>2025</v>
      </c>
      <c r="D693">
        <v>1</v>
      </c>
      <c r="E693">
        <v>29</v>
      </c>
      <c r="F693">
        <f>Sayfa1!C693-273.15</f>
        <v>11.410363769531273</v>
      </c>
      <c r="G693">
        <v>71.569580078125</v>
      </c>
      <c r="H693">
        <f>SQRT(Sayfa1!D693^2+Sayfa1!E693^2)</f>
        <v>0.73993133280924062</v>
      </c>
      <c r="I693">
        <f>SUM(Sayfa1!G670:G693)</f>
        <v>5.6743621826171875E-2</v>
      </c>
    </row>
    <row r="694" spans="1:9" x14ac:dyDescent="0.3">
      <c r="A694">
        <v>-118.5</v>
      </c>
      <c r="B694">
        <v>34</v>
      </c>
      <c r="C694">
        <v>2025</v>
      </c>
      <c r="D694">
        <v>1</v>
      </c>
      <c r="E694">
        <v>29</v>
      </c>
      <c r="F694">
        <f>Sayfa1!C694-273.15</f>
        <v>12.101770019531273</v>
      </c>
      <c r="G694">
        <v>67.54254150390625</v>
      </c>
      <c r="H694">
        <f>SQRT(Sayfa1!D694^2+Sayfa1!E694^2)</f>
        <v>1.4467962009837352</v>
      </c>
      <c r="I694">
        <f>SUM(Sayfa1!G671:G694)</f>
        <v>5.6743621826171875E-2</v>
      </c>
    </row>
    <row r="695" spans="1:9" x14ac:dyDescent="0.3">
      <c r="A695">
        <v>-118.5</v>
      </c>
      <c r="B695">
        <v>34</v>
      </c>
      <c r="C695">
        <v>2025</v>
      </c>
      <c r="D695">
        <v>1</v>
      </c>
      <c r="E695">
        <v>29</v>
      </c>
      <c r="F695">
        <f>Sayfa1!C695-273.15</f>
        <v>12.631250000000023</v>
      </c>
      <c r="G695">
        <v>64.771194458007813</v>
      </c>
      <c r="H695">
        <f>SQRT(Sayfa1!D695^2+Sayfa1!E695^2)</f>
        <v>2.3181659000418211</v>
      </c>
      <c r="I695">
        <f>SUM(Sayfa1!G672:G695)</f>
        <v>5.6743621826171875E-2</v>
      </c>
    </row>
    <row r="696" spans="1:9" x14ac:dyDescent="0.3">
      <c r="A696">
        <v>-118.5</v>
      </c>
      <c r="B696">
        <v>34</v>
      </c>
      <c r="C696">
        <v>2025</v>
      </c>
      <c r="D696">
        <v>1</v>
      </c>
      <c r="E696">
        <v>29</v>
      </c>
      <c r="F696">
        <f>Sayfa1!C696-273.15</f>
        <v>12.909509277343773</v>
      </c>
      <c r="G696">
        <v>61.368789672851563</v>
      </c>
      <c r="H696">
        <f>SQRT(Sayfa1!D696^2+Sayfa1!E696^2)</f>
        <v>2.0517500562217119</v>
      </c>
      <c r="I696">
        <f>SUM(Sayfa1!G673:G696)</f>
        <v>5.6743621826171875E-2</v>
      </c>
    </row>
    <row r="697" spans="1:9" x14ac:dyDescent="0.3">
      <c r="A697">
        <v>-118.5</v>
      </c>
      <c r="B697">
        <v>34</v>
      </c>
      <c r="C697">
        <v>2025</v>
      </c>
      <c r="D697">
        <v>1</v>
      </c>
      <c r="E697">
        <v>29</v>
      </c>
      <c r="F697">
        <f>Sayfa1!C697-273.15</f>
        <v>12.938623046875023</v>
      </c>
      <c r="G697">
        <v>62.698867797851563</v>
      </c>
      <c r="H697">
        <f>SQRT(Sayfa1!D697^2+Sayfa1!E697^2)</f>
        <v>3.0604269794871617</v>
      </c>
      <c r="I697">
        <f>SUM(Sayfa1!G674:G697)</f>
        <v>5.6743621826171875E-2</v>
      </c>
    </row>
    <row r="698" spans="1:9" x14ac:dyDescent="0.3">
      <c r="A698">
        <v>-118.5</v>
      </c>
      <c r="B698">
        <v>34</v>
      </c>
      <c r="C698">
        <v>2025</v>
      </c>
      <c r="D698">
        <v>1</v>
      </c>
      <c r="E698">
        <v>30</v>
      </c>
      <c r="F698">
        <f>Sayfa1!C698-273.15</f>
        <v>12.519677734375023</v>
      </c>
      <c r="G698">
        <v>66.827133178710938</v>
      </c>
      <c r="H698">
        <f>SQRT(Sayfa1!D698^2+Sayfa1!E698^2)</f>
        <v>3.9737953229034728</v>
      </c>
      <c r="I698">
        <f>SUM(Sayfa1!G675:G698)</f>
        <v>5.6743621826171875E-2</v>
      </c>
    </row>
    <row r="699" spans="1:9" x14ac:dyDescent="0.3">
      <c r="A699">
        <v>-118.5</v>
      </c>
      <c r="B699">
        <v>34</v>
      </c>
      <c r="C699">
        <v>2025</v>
      </c>
      <c r="D699">
        <v>1</v>
      </c>
      <c r="E699">
        <v>30</v>
      </c>
      <c r="F699">
        <f>Sayfa1!C699-273.15</f>
        <v>11.558007812500023</v>
      </c>
      <c r="G699">
        <v>74.7218017578125</v>
      </c>
      <c r="H699">
        <f>SQRT(Sayfa1!D699^2+Sayfa1!E699^2)</f>
        <v>4.2389860879516581</v>
      </c>
      <c r="I699">
        <f>SUM(Sayfa1!G676:G699)</f>
        <v>5.6743621826171875E-2</v>
      </c>
    </row>
    <row r="700" spans="1:9" x14ac:dyDescent="0.3">
      <c r="A700">
        <v>-118.5</v>
      </c>
      <c r="B700">
        <v>34</v>
      </c>
      <c r="C700">
        <v>2025</v>
      </c>
      <c r="D700">
        <v>1</v>
      </c>
      <c r="E700">
        <v>30</v>
      </c>
      <c r="F700">
        <f>Sayfa1!C700-273.15</f>
        <v>10.724145507812523</v>
      </c>
      <c r="G700">
        <v>80.600479125976563</v>
      </c>
      <c r="H700">
        <f>SQRT(Sayfa1!D700^2+Sayfa1!E700^2)</f>
        <v>3.6879821439472527</v>
      </c>
      <c r="I700">
        <f>SUM(Sayfa1!G677:G700)</f>
        <v>5.6743621826171875E-2</v>
      </c>
    </row>
    <row r="701" spans="1:9" x14ac:dyDescent="0.3">
      <c r="A701">
        <v>-118.5</v>
      </c>
      <c r="B701">
        <v>34</v>
      </c>
      <c r="C701">
        <v>2025</v>
      </c>
      <c r="D701">
        <v>1</v>
      </c>
      <c r="E701">
        <v>30</v>
      </c>
      <c r="F701">
        <f>Sayfa1!C701-273.15</f>
        <v>10.270166015625023</v>
      </c>
      <c r="G701">
        <v>83.423309326171875</v>
      </c>
      <c r="H701">
        <f>SQRT(Sayfa1!D701^2+Sayfa1!E701^2)</f>
        <v>3.0662624290855423</v>
      </c>
      <c r="I701">
        <f>SUM(Sayfa1!G678:G701)</f>
        <v>5.6743621826171875E-2</v>
      </c>
    </row>
    <row r="702" spans="1:9" x14ac:dyDescent="0.3">
      <c r="A702">
        <v>-118.5</v>
      </c>
      <c r="B702">
        <v>34</v>
      </c>
      <c r="C702">
        <v>2025</v>
      </c>
      <c r="D702">
        <v>1</v>
      </c>
      <c r="E702">
        <v>30</v>
      </c>
      <c r="F702">
        <f>Sayfa1!C702-273.15</f>
        <v>10.029321289062523</v>
      </c>
      <c r="G702">
        <v>85.191864013671875</v>
      </c>
      <c r="H702">
        <f>SQRT(Sayfa1!D702^2+Sayfa1!E702^2)</f>
        <v>2.5050303767520408</v>
      </c>
      <c r="I702">
        <f>SUM(Sayfa1!G679:G702)</f>
        <v>5.6743621826171875E-2</v>
      </c>
    </row>
    <row r="703" spans="1:9" x14ac:dyDescent="0.3">
      <c r="A703">
        <v>-118.5</v>
      </c>
      <c r="B703">
        <v>34</v>
      </c>
      <c r="C703">
        <v>2025</v>
      </c>
      <c r="D703">
        <v>1</v>
      </c>
      <c r="E703">
        <v>30</v>
      </c>
      <c r="F703">
        <f>Sayfa1!C703-273.15</f>
        <v>9.8816162109375227</v>
      </c>
      <c r="G703">
        <v>86.706893920898438</v>
      </c>
      <c r="H703">
        <f>SQRT(Sayfa1!D703^2+Sayfa1!E703^2)</f>
        <v>1.6674046227588284</v>
      </c>
      <c r="I703">
        <f>SUM(Sayfa1!G680:G703)</f>
        <v>5.626678466796875E-2</v>
      </c>
    </row>
    <row r="704" spans="1:9" x14ac:dyDescent="0.3">
      <c r="A704">
        <v>-118.5</v>
      </c>
      <c r="B704">
        <v>34</v>
      </c>
      <c r="C704">
        <v>2025</v>
      </c>
      <c r="D704">
        <v>1</v>
      </c>
      <c r="E704">
        <v>30</v>
      </c>
      <c r="F704">
        <f>Sayfa1!C704-273.15</f>
        <v>9.7693115234375227</v>
      </c>
      <c r="G704">
        <v>88.417221069335938</v>
      </c>
      <c r="H704">
        <f>SQRT(Sayfa1!D704^2+Sayfa1!E704^2)</f>
        <v>0.64673586164761532</v>
      </c>
      <c r="I704">
        <f>SUM(Sayfa1!G681:G704)</f>
        <v>5.626678466796875E-2</v>
      </c>
    </row>
    <row r="705" spans="1:9" x14ac:dyDescent="0.3">
      <c r="A705">
        <v>-118.5</v>
      </c>
      <c r="B705">
        <v>34</v>
      </c>
      <c r="C705">
        <v>2025</v>
      </c>
      <c r="D705">
        <v>1</v>
      </c>
      <c r="E705">
        <v>30</v>
      </c>
      <c r="F705">
        <f>Sayfa1!C705-273.15</f>
        <v>9.7074218750000227</v>
      </c>
      <c r="G705">
        <v>89.742324829101563</v>
      </c>
      <c r="H705">
        <f>SQRT(Sayfa1!D705^2+Sayfa1!E705^2)</f>
        <v>0.27636116757593077</v>
      </c>
      <c r="I705">
        <f>SUM(Sayfa1!G682:G705)</f>
        <v>5.2928924560546875E-2</v>
      </c>
    </row>
    <row r="706" spans="1:9" x14ac:dyDescent="0.3">
      <c r="A706">
        <v>-118.5</v>
      </c>
      <c r="B706">
        <v>34</v>
      </c>
      <c r="C706">
        <v>2025</v>
      </c>
      <c r="D706">
        <v>1</v>
      </c>
      <c r="E706">
        <v>30</v>
      </c>
      <c r="F706">
        <f>Sayfa1!C706-273.15</f>
        <v>9.6092773437500227</v>
      </c>
      <c r="G706">
        <v>90.998062133789063</v>
      </c>
      <c r="H706">
        <f>SQRT(Sayfa1!D706^2+Sayfa1!E706^2)</f>
        <v>0.32679850559491264</v>
      </c>
      <c r="I706">
        <f>SUM(Sayfa1!G683:G706)</f>
        <v>4.5299530029296875E-2</v>
      </c>
    </row>
    <row r="707" spans="1:9" x14ac:dyDescent="0.3">
      <c r="A707">
        <v>-118.5</v>
      </c>
      <c r="B707">
        <v>34</v>
      </c>
      <c r="C707">
        <v>2025</v>
      </c>
      <c r="D707">
        <v>1</v>
      </c>
      <c r="E707">
        <v>30</v>
      </c>
      <c r="F707">
        <f>Sayfa1!C707-273.15</f>
        <v>9.4828125000000227</v>
      </c>
      <c r="G707">
        <v>91.52691650390625</v>
      </c>
      <c r="H707">
        <f>SQRT(Sayfa1!D707^2+Sayfa1!E707^2)</f>
        <v>0.26462719627946774</v>
      </c>
      <c r="I707">
        <f>SUM(Sayfa1!G684:G707)</f>
        <v>4.00543212890625E-2</v>
      </c>
    </row>
    <row r="708" spans="1:9" x14ac:dyDescent="0.3">
      <c r="A708">
        <v>-118.5</v>
      </c>
      <c r="B708">
        <v>34</v>
      </c>
      <c r="C708">
        <v>2025</v>
      </c>
      <c r="D708">
        <v>1</v>
      </c>
      <c r="E708">
        <v>30</v>
      </c>
      <c r="F708">
        <f>Sayfa1!C708-273.15</f>
        <v>10.377160644531273</v>
      </c>
      <c r="G708">
        <v>83.495254516601563</v>
      </c>
      <c r="H708">
        <f>SQRT(Sayfa1!D708^2+Sayfa1!E708^2)</f>
        <v>1.5594416761913288</v>
      </c>
      <c r="I708">
        <f>SUM(Sayfa1!G685:G708)</f>
        <v>4.2438507080078125E-2</v>
      </c>
    </row>
    <row r="709" spans="1:9" x14ac:dyDescent="0.3">
      <c r="A709">
        <v>-118.5</v>
      </c>
      <c r="B709">
        <v>34</v>
      </c>
      <c r="C709">
        <v>2025</v>
      </c>
      <c r="D709">
        <v>1</v>
      </c>
      <c r="E709">
        <v>30</v>
      </c>
      <c r="F709">
        <f>Sayfa1!C709-273.15</f>
        <v>10.281579589843773</v>
      </c>
      <c r="G709">
        <v>82.555267333984375</v>
      </c>
      <c r="H709">
        <f>SQRT(Sayfa1!D709^2+Sayfa1!E709^2)</f>
        <v>1.6100989251856141</v>
      </c>
      <c r="I709">
        <f>SUM(Sayfa1!G686:G709)</f>
        <v>4.4345855712890625E-2</v>
      </c>
    </row>
    <row r="710" spans="1:9" x14ac:dyDescent="0.3">
      <c r="A710">
        <v>-118.5</v>
      </c>
      <c r="B710">
        <v>34</v>
      </c>
      <c r="C710">
        <v>2025</v>
      </c>
      <c r="D710">
        <v>1</v>
      </c>
      <c r="E710">
        <v>30</v>
      </c>
      <c r="F710">
        <f>Sayfa1!C710-273.15</f>
        <v>10.059167480468773</v>
      </c>
      <c r="G710">
        <v>82.186355590820313</v>
      </c>
      <c r="H710">
        <f>SQRT(Sayfa1!D710^2+Sayfa1!E710^2)</f>
        <v>1.8518606597977703</v>
      </c>
      <c r="I710">
        <f>SUM(Sayfa1!G687:G710)</f>
        <v>4.8160552978515625E-2</v>
      </c>
    </row>
    <row r="711" spans="1:9" x14ac:dyDescent="0.3">
      <c r="A711">
        <v>-118.5</v>
      </c>
      <c r="B711">
        <v>34</v>
      </c>
      <c r="C711">
        <v>2025</v>
      </c>
      <c r="D711">
        <v>1</v>
      </c>
      <c r="E711">
        <v>30</v>
      </c>
      <c r="F711">
        <f>Sayfa1!C711-273.15</f>
        <v>9.8117614746093977</v>
      </c>
      <c r="G711">
        <v>83.1990966796875</v>
      </c>
      <c r="H711">
        <f>SQRT(Sayfa1!D711^2+Sayfa1!E711^2)</f>
        <v>2.0186766218286993</v>
      </c>
      <c r="I711">
        <f>SUM(Sayfa1!G688:G711)</f>
        <v>5.054473876953125E-2</v>
      </c>
    </row>
    <row r="712" spans="1:9" x14ac:dyDescent="0.3">
      <c r="A712">
        <v>-118.5</v>
      </c>
      <c r="B712">
        <v>34</v>
      </c>
      <c r="C712">
        <v>2025</v>
      </c>
      <c r="D712">
        <v>1</v>
      </c>
      <c r="E712">
        <v>30</v>
      </c>
      <c r="F712">
        <f>Sayfa1!C712-273.15</f>
        <v>9.6400390625000227</v>
      </c>
      <c r="G712">
        <v>84.3343505859375</v>
      </c>
      <c r="H712">
        <f>SQRT(Sayfa1!D712^2+Sayfa1!E712^2)</f>
        <v>2.0544698889725628</v>
      </c>
      <c r="I712">
        <f>SUM(Sayfa1!G689:G712)</f>
        <v>5.626678466796875E-2</v>
      </c>
    </row>
    <row r="713" spans="1:9" x14ac:dyDescent="0.3">
      <c r="A713">
        <v>-118.5</v>
      </c>
      <c r="B713">
        <v>34</v>
      </c>
      <c r="C713">
        <v>2025</v>
      </c>
      <c r="D713">
        <v>1</v>
      </c>
      <c r="E713">
        <v>30</v>
      </c>
      <c r="F713">
        <f>Sayfa1!C713-273.15</f>
        <v>9.5805908203125227</v>
      </c>
      <c r="G713">
        <v>84.681121826171875</v>
      </c>
      <c r="H713">
        <f>SQRT(Sayfa1!D713^2+Sayfa1!E713^2)</f>
        <v>2.0186969306598974</v>
      </c>
      <c r="I713">
        <f>SUM(Sayfa1!G690:G713)</f>
        <v>6.8187713623046875E-2</v>
      </c>
    </row>
    <row r="714" spans="1:9" x14ac:dyDescent="0.3">
      <c r="A714">
        <v>-118.5</v>
      </c>
      <c r="B714">
        <v>34</v>
      </c>
      <c r="C714">
        <v>2025</v>
      </c>
      <c r="D714">
        <v>1</v>
      </c>
      <c r="E714">
        <v>30</v>
      </c>
      <c r="F714">
        <f>Sayfa1!C714-273.15</f>
        <v>9.6077514648437727</v>
      </c>
      <c r="G714">
        <v>84.003936767578125</v>
      </c>
      <c r="H714">
        <f>SQRT(Sayfa1!D714^2+Sayfa1!E714^2)</f>
        <v>1.3926706996398635</v>
      </c>
      <c r="I714">
        <f>SUM(Sayfa1!G691:G714)</f>
        <v>7.2479248046875E-2</v>
      </c>
    </row>
    <row r="715" spans="1:9" x14ac:dyDescent="0.3">
      <c r="A715">
        <v>-118.5</v>
      </c>
      <c r="B715">
        <v>34</v>
      </c>
      <c r="C715">
        <v>2025</v>
      </c>
      <c r="D715">
        <v>1</v>
      </c>
      <c r="E715">
        <v>30</v>
      </c>
      <c r="F715">
        <f>Sayfa1!C715-273.15</f>
        <v>9.6083618164062727</v>
      </c>
      <c r="G715">
        <v>77.441055297851563</v>
      </c>
      <c r="H715">
        <f>SQRT(Sayfa1!D715^2+Sayfa1!E715^2)</f>
        <v>1.1567463785969383</v>
      </c>
      <c r="I715">
        <f>SUM(Sayfa1!G692:G715)</f>
        <v>4.9114227294921875E-2</v>
      </c>
    </row>
    <row r="716" spans="1:9" x14ac:dyDescent="0.3">
      <c r="A716">
        <v>-118.5</v>
      </c>
      <c r="B716">
        <v>34</v>
      </c>
      <c r="C716">
        <v>2025</v>
      </c>
      <c r="D716">
        <v>1</v>
      </c>
      <c r="E716">
        <v>30</v>
      </c>
      <c r="F716">
        <f>Sayfa1!C716-273.15</f>
        <v>10.367272949218773</v>
      </c>
      <c r="G716">
        <v>69.331527709960938</v>
      </c>
      <c r="H716">
        <f>SQRT(Sayfa1!D716^2+Sayfa1!E716^2)</f>
        <v>0.48086673958892584</v>
      </c>
      <c r="I716">
        <f>SUM(Sayfa1!G693:G716)</f>
        <v>5.054473876953125E-2</v>
      </c>
    </row>
    <row r="717" spans="1:9" x14ac:dyDescent="0.3">
      <c r="A717">
        <v>-118.5</v>
      </c>
      <c r="B717">
        <v>34</v>
      </c>
      <c r="C717">
        <v>2025</v>
      </c>
      <c r="D717">
        <v>1</v>
      </c>
      <c r="E717">
        <v>30</v>
      </c>
      <c r="F717">
        <f>Sayfa1!C717-273.15</f>
        <v>10.937890625000023</v>
      </c>
      <c r="G717">
        <v>64.107147216796875</v>
      </c>
      <c r="H717">
        <f>SQRT(Sayfa1!D717^2+Sayfa1!E717^2)</f>
        <v>0.95987111231145383</v>
      </c>
      <c r="I717">
        <f>SUM(Sayfa1!G694:G717)</f>
        <v>5.054473876953125E-2</v>
      </c>
    </row>
    <row r="718" spans="1:9" x14ac:dyDescent="0.3">
      <c r="A718">
        <v>-118.5</v>
      </c>
      <c r="B718">
        <v>34</v>
      </c>
      <c r="C718">
        <v>2025</v>
      </c>
      <c r="D718">
        <v>1</v>
      </c>
      <c r="E718">
        <v>30</v>
      </c>
      <c r="F718">
        <f>Sayfa1!C718-273.15</f>
        <v>11.284814453125023</v>
      </c>
      <c r="G718">
        <v>63.35101318359375</v>
      </c>
      <c r="H718">
        <f>SQRT(Sayfa1!D718^2+Sayfa1!E718^2)</f>
        <v>1.1982291873989925</v>
      </c>
      <c r="I718">
        <f>SUM(Sayfa1!G695:G718)</f>
        <v>5.054473876953125E-2</v>
      </c>
    </row>
    <row r="719" spans="1:9" x14ac:dyDescent="0.3">
      <c r="A719">
        <v>-118.5</v>
      </c>
      <c r="B719">
        <v>34</v>
      </c>
      <c r="C719">
        <v>2025</v>
      </c>
      <c r="D719">
        <v>1</v>
      </c>
      <c r="E719">
        <v>30</v>
      </c>
      <c r="F719">
        <f>Sayfa1!C719-273.15</f>
        <v>11.629052734375023</v>
      </c>
      <c r="G719">
        <v>62.654190063476563</v>
      </c>
      <c r="H719">
        <f>SQRT(Sayfa1!D719^2+Sayfa1!E719^2)</f>
        <v>1.5347113265625498</v>
      </c>
      <c r="I719">
        <f>SUM(Sayfa1!G696:G719)</f>
        <v>5.054473876953125E-2</v>
      </c>
    </row>
    <row r="720" spans="1:9" x14ac:dyDescent="0.3">
      <c r="A720">
        <v>-118.5</v>
      </c>
      <c r="B720">
        <v>34</v>
      </c>
      <c r="C720">
        <v>2025</v>
      </c>
      <c r="D720">
        <v>1</v>
      </c>
      <c r="E720">
        <v>30</v>
      </c>
      <c r="F720">
        <f>Sayfa1!C720-273.15</f>
        <v>11.711083984375023</v>
      </c>
      <c r="G720">
        <v>60.343765258789063</v>
      </c>
      <c r="H720">
        <f>SQRT(Sayfa1!D720^2+Sayfa1!E720^2)</f>
        <v>0.66309818381516572</v>
      </c>
      <c r="I720">
        <f>SUM(Sayfa1!G697:G720)</f>
        <v>5.054473876953125E-2</v>
      </c>
    </row>
    <row r="721" spans="1:9" x14ac:dyDescent="0.3">
      <c r="A721">
        <v>-118.5</v>
      </c>
      <c r="B721">
        <v>34</v>
      </c>
      <c r="C721">
        <v>2025</v>
      </c>
      <c r="D721">
        <v>1</v>
      </c>
      <c r="E721">
        <v>30</v>
      </c>
      <c r="F721">
        <f>Sayfa1!C721-273.15</f>
        <v>12.063134765625023</v>
      </c>
      <c r="G721">
        <v>59.9765625</v>
      </c>
      <c r="H721">
        <f>SQRT(Sayfa1!D721^2+Sayfa1!E721^2)</f>
        <v>0.95581501537072588</v>
      </c>
      <c r="I721">
        <f>SUM(Sayfa1!G698:G721)</f>
        <v>5.054473876953125E-2</v>
      </c>
    </row>
    <row r="722" spans="1:9" x14ac:dyDescent="0.3">
      <c r="A722">
        <v>-118.5</v>
      </c>
      <c r="B722">
        <v>34</v>
      </c>
      <c r="C722">
        <v>2025</v>
      </c>
      <c r="D722">
        <v>1</v>
      </c>
      <c r="E722">
        <v>31</v>
      </c>
      <c r="F722">
        <f>Sayfa1!C722-273.15</f>
        <v>12.158959960937523</v>
      </c>
      <c r="G722">
        <v>59.984130859375</v>
      </c>
      <c r="H722">
        <f>SQRT(Sayfa1!D722^2+Sayfa1!E722^2)</f>
        <v>1.2765554772257381</v>
      </c>
      <c r="I722">
        <f>SUM(Sayfa1!G699:G722)</f>
        <v>5.054473876953125E-2</v>
      </c>
    </row>
    <row r="723" spans="1:9" x14ac:dyDescent="0.3">
      <c r="A723">
        <v>-118.5</v>
      </c>
      <c r="B723">
        <v>34</v>
      </c>
      <c r="C723">
        <v>2025</v>
      </c>
      <c r="D723">
        <v>1</v>
      </c>
      <c r="E723">
        <v>31</v>
      </c>
      <c r="F723">
        <f>Sayfa1!C723-273.15</f>
        <v>11.869165039062523</v>
      </c>
      <c r="G723">
        <v>62.613525390625</v>
      </c>
      <c r="H723">
        <f>SQRT(Sayfa1!D723^2+Sayfa1!E723^2)</f>
        <v>1.5367554280728557</v>
      </c>
      <c r="I723">
        <f>SUM(Sayfa1!G700:G723)</f>
        <v>5.054473876953125E-2</v>
      </c>
    </row>
    <row r="724" spans="1:9" x14ac:dyDescent="0.3">
      <c r="A724">
        <v>-118.5</v>
      </c>
      <c r="B724">
        <v>34</v>
      </c>
      <c r="C724">
        <v>2025</v>
      </c>
      <c r="D724">
        <v>1</v>
      </c>
      <c r="E724">
        <v>31</v>
      </c>
      <c r="F724">
        <f>Sayfa1!C724-273.15</f>
        <v>11.347802734375023</v>
      </c>
      <c r="G724">
        <v>66.822219848632813</v>
      </c>
      <c r="H724">
        <f>SQRT(Sayfa1!D724^2+Sayfa1!E724^2)</f>
        <v>1.7722507367928637</v>
      </c>
      <c r="I724">
        <f>SUM(Sayfa1!G701:G724)</f>
        <v>5.054473876953125E-2</v>
      </c>
    </row>
    <row r="725" spans="1:9" x14ac:dyDescent="0.3">
      <c r="A725">
        <v>-118.5</v>
      </c>
      <c r="B725">
        <v>34</v>
      </c>
      <c r="C725">
        <v>2025</v>
      </c>
      <c r="D725">
        <v>1</v>
      </c>
      <c r="E725">
        <v>31</v>
      </c>
      <c r="F725">
        <f>Sayfa1!C725-273.15</f>
        <v>10.916528320312523</v>
      </c>
      <c r="G725">
        <v>70.06927490234375</v>
      </c>
      <c r="H725">
        <f>SQRT(Sayfa1!D725^2+Sayfa1!E725^2)</f>
        <v>1.9204068505762835</v>
      </c>
      <c r="I725">
        <f>SUM(Sayfa1!G702:G725)</f>
        <v>5.054473876953125E-2</v>
      </c>
    </row>
    <row r="726" spans="1:9" x14ac:dyDescent="0.3">
      <c r="A726">
        <v>-118.5</v>
      </c>
      <c r="B726">
        <v>34</v>
      </c>
      <c r="C726">
        <v>2025</v>
      </c>
      <c r="D726">
        <v>1</v>
      </c>
      <c r="E726">
        <v>31</v>
      </c>
      <c r="F726">
        <f>Sayfa1!C726-273.15</f>
        <v>10.448754882812523</v>
      </c>
      <c r="G726">
        <v>73.713638305664063</v>
      </c>
      <c r="H726">
        <f>SQRT(Sayfa1!D726^2+Sayfa1!E726^2)</f>
        <v>3.1559019376321236</v>
      </c>
      <c r="I726">
        <f>SUM(Sayfa1!G703:G726)</f>
        <v>5.054473876953125E-2</v>
      </c>
    </row>
    <row r="727" spans="1:9" x14ac:dyDescent="0.3">
      <c r="A727">
        <v>-118.5</v>
      </c>
      <c r="B727">
        <v>34</v>
      </c>
      <c r="C727">
        <v>2025</v>
      </c>
      <c r="D727">
        <v>1</v>
      </c>
      <c r="E727">
        <v>31</v>
      </c>
      <c r="F727">
        <f>Sayfa1!C727-273.15</f>
        <v>9.9433837890625227</v>
      </c>
      <c r="G727">
        <v>77.190994262695313</v>
      </c>
      <c r="H727">
        <f>SQRT(Sayfa1!D727^2+Sayfa1!E727^2)</f>
        <v>3.617932271836569</v>
      </c>
      <c r="I727">
        <f>SUM(Sayfa1!G704:G727)</f>
        <v>5.054473876953125E-2</v>
      </c>
    </row>
    <row r="728" spans="1:9" x14ac:dyDescent="0.3">
      <c r="A728">
        <v>-118.5</v>
      </c>
      <c r="B728">
        <v>34</v>
      </c>
      <c r="C728">
        <v>2025</v>
      </c>
      <c r="D728">
        <v>1</v>
      </c>
      <c r="E728">
        <v>31</v>
      </c>
      <c r="F728">
        <f>Sayfa1!C728-273.15</f>
        <v>9.6875244140625227</v>
      </c>
      <c r="G728">
        <v>79.912353515625</v>
      </c>
      <c r="H728">
        <f>SQRT(Sayfa1!D728^2+Sayfa1!E728^2)</f>
        <v>3.1256615171768121</v>
      </c>
      <c r="I728">
        <f>SUM(Sayfa1!G705:G728)</f>
        <v>5.054473876953125E-2</v>
      </c>
    </row>
    <row r="729" spans="1:9" x14ac:dyDescent="0.3">
      <c r="A729">
        <v>-118.5</v>
      </c>
      <c r="B729">
        <v>34</v>
      </c>
      <c r="C729">
        <v>2025</v>
      </c>
      <c r="D729">
        <v>1</v>
      </c>
      <c r="E729">
        <v>31</v>
      </c>
      <c r="F729">
        <f>Sayfa1!C729-273.15</f>
        <v>9.6349121093750227</v>
      </c>
      <c r="G729">
        <v>82.410400390625</v>
      </c>
      <c r="H729">
        <f>SQRT(Sayfa1!D729^2+Sayfa1!E729^2)</f>
        <v>2.6391572006519577</v>
      </c>
      <c r="I729">
        <f>SUM(Sayfa1!G706:G729)</f>
        <v>5.054473876953125E-2</v>
      </c>
    </row>
    <row r="730" spans="1:9" x14ac:dyDescent="0.3">
      <c r="A730">
        <v>-118.5</v>
      </c>
      <c r="B730">
        <v>34</v>
      </c>
      <c r="C730">
        <v>2025</v>
      </c>
      <c r="D730">
        <v>1</v>
      </c>
      <c r="E730">
        <v>31</v>
      </c>
      <c r="F730">
        <f>Sayfa1!C730-273.15</f>
        <v>9.6251464843750227</v>
      </c>
      <c r="G730">
        <v>84.868698120117188</v>
      </c>
      <c r="H730">
        <f>SQRT(Sayfa1!D730^2+Sayfa1!E730^2)</f>
        <v>2.5994727162285205</v>
      </c>
      <c r="I730">
        <f>SUM(Sayfa1!G707:G730)</f>
        <v>5.0067901611328125E-2</v>
      </c>
    </row>
    <row r="731" spans="1:9" x14ac:dyDescent="0.3">
      <c r="A731">
        <v>-118.5</v>
      </c>
      <c r="B731">
        <v>34</v>
      </c>
      <c r="C731">
        <v>2025</v>
      </c>
      <c r="D731">
        <v>1</v>
      </c>
      <c r="E731">
        <v>31</v>
      </c>
      <c r="F731">
        <f>Sayfa1!C731-273.15</f>
        <v>9.5943847656250227</v>
      </c>
      <c r="G731">
        <v>87.024871826171875</v>
      </c>
      <c r="H731">
        <f>SQRT(Sayfa1!D731^2+Sayfa1!E731^2)</f>
        <v>2.3169810883901651</v>
      </c>
      <c r="I731">
        <f>SUM(Sayfa1!G708:G731)</f>
        <v>4.9591064453125E-2</v>
      </c>
    </row>
    <row r="732" spans="1:9" x14ac:dyDescent="0.3">
      <c r="A732">
        <v>-118.5</v>
      </c>
      <c r="B732">
        <v>34</v>
      </c>
      <c r="C732">
        <v>2025</v>
      </c>
      <c r="D732">
        <v>1</v>
      </c>
      <c r="E732">
        <v>31</v>
      </c>
      <c r="F732">
        <f>Sayfa1!C732-273.15</f>
        <v>8.9371582031250227</v>
      </c>
      <c r="G732">
        <v>90.688369750976563</v>
      </c>
      <c r="H732">
        <f>SQRT(Sayfa1!D732^2+Sayfa1!E732^2)</f>
        <v>1.6752988287918571</v>
      </c>
      <c r="I732">
        <f>SUM(Sayfa1!G709:G732)</f>
        <v>4.6253204345703125E-2</v>
      </c>
    </row>
    <row r="733" spans="1:9" x14ac:dyDescent="0.3">
      <c r="A733">
        <v>-118.5</v>
      </c>
      <c r="B733">
        <v>34</v>
      </c>
      <c r="C733">
        <v>2025</v>
      </c>
      <c r="D733">
        <v>1</v>
      </c>
      <c r="E733">
        <v>31</v>
      </c>
      <c r="F733">
        <f>Sayfa1!C733-273.15</f>
        <v>9.1230712890625227</v>
      </c>
      <c r="G733">
        <v>90.215377807617188</v>
      </c>
      <c r="H733">
        <f>SQRT(Sayfa1!D733^2+Sayfa1!E733^2)</f>
        <v>1.2736731769886731</v>
      </c>
      <c r="I733">
        <f>SUM(Sayfa1!G710:G733)</f>
        <v>4.38690185546875E-2</v>
      </c>
    </row>
    <row r="734" spans="1:9" x14ac:dyDescent="0.3">
      <c r="A734">
        <v>-118.5</v>
      </c>
      <c r="B734">
        <v>34</v>
      </c>
      <c r="C734">
        <v>2025</v>
      </c>
      <c r="D734">
        <v>1</v>
      </c>
      <c r="E734">
        <v>31</v>
      </c>
      <c r="F734">
        <f>Sayfa1!C734-273.15</f>
        <v>9.2278076171875227</v>
      </c>
      <c r="G734">
        <v>88.575790405273438</v>
      </c>
      <c r="H734">
        <f>SQRT(Sayfa1!D734^2+Sayfa1!E734^2)</f>
        <v>1.2803104463119519</v>
      </c>
      <c r="I734">
        <f>SUM(Sayfa1!G711:G734)</f>
        <v>3.910064697265625E-2</v>
      </c>
    </row>
    <row r="735" spans="1:9" x14ac:dyDescent="0.3">
      <c r="A735">
        <v>-118.5</v>
      </c>
      <c r="B735">
        <v>34</v>
      </c>
      <c r="C735">
        <v>2025</v>
      </c>
      <c r="D735">
        <v>1</v>
      </c>
      <c r="E735">
        <v>31</v>
      </c>
      <c r="F735">
        <f>Sayfa1!C735-273.15</f>
        <v>9.2370849609375227</v>
      </c>
      <c r="G735">
        <v>85.228240966796875</v>
      </c>
      <c r="H735">
        <f>SQRT(Sayfa1!D735^2+Sayfa1!E735^2)</f>
        <v>1.2382768874775969</v>
      </c>
      <c r="I735">
        <f>SUM(Sayfa1!G712:G735)</f>
        <v>3.4332275390625E-2</v>
      </c>
    </row>
    <row r="736" spans="1:9" x14ac:dyDescent="0.3">
      <c r="A736">
        <v>-118.5</v>
      </c>
      <c r="B736">
        <v>34</v>
      </c>
      <c r="C736">
        <v>2025</v>
      </c>
      <c r="D736">
        <v>1</v>
      </c>
      <c r="E736">
        <v>31</v>
      </c>
      <c r="F736">
        <f>Sayfa1!C736-273.15</f>
        <v>9.0946289062500227</v>
      </c>
      <c r="G736">
        <v>83.60662841796875</v>
      </c>
      <c r="H736">
        <f>SQRT(Sayfa1!D736^2+Sayfa1!E736^2)</f>
        <v>0.82600477120395999</v>
      </c>
      <c r="I736">
        <f>SUM(Sayfa1!G713:G736)</f>
        <v>2.765655517578125E-2</v>
      </c>
    </row>
    <row r="737" spans="1:9" x14ac:dyDescent="0.3">
      <c r="A737">
        <v>-118.5</v>
      </c>
      <c r="B737">
        <v>34</v>
      </c>
      <c r="C737">
        <v>2025</v>
      </c>
      <c r="D737">
        <v>1</v>
      </c>
      <c r="E737">
        <v>31</v>
      </c>
      <c r="F737">
        <f>Sayfa1!C737-273.15</f>
        <v>9.0555664062500227</v>
      </c>
      <c r="G737">
        <v>84.05645751953125</v>
      </c>
      <c r="H737">
        <f>SQRT(Sayfa1!D737^2+Sayfa1!E737^2)</f>
        <v>1.2491612908223557</v>
      </c>
      <c r="I737">
        <f>SUM(Sayfa1!G714:G737)</f>
        <v>1.52587890625E-2</v>
      </c>
    </row>
    <row r="738" spans="1:9" x14ac:dyDescent="0.3">
      <c r="A738">
        <v>-118.5</v>
      </c>
      <c r="B738">
        <v>34</v>
      </c>
      <c r="C738">
        <v>2025</v>
      </c>
      <c r="D738">
        <v>1</v>
      </c>
      <c r="E738">
        <v>31</v>
      </c>
      <c r="F738">
        <f>Sayfa1!C738-273.15</f>
        <v>9.1717773437500227</v>
      </c>
      <c r="G738">
        <v>83.202407836914063</v>
      </c>
      <c r="H738">
        <f>SQRT(Sayfa1!D738^2+Sayfa1!E738^2)</f>
        <v>1.6472267488682462</v>
      </c>
      <c r="I738">
        <f>SUM(Sayfa1!G715:G738)</f>
        <v>5.7220458984375E-3</v>
      </c>
    </row>
    <row r="739" spans="1:9" x14ac:dyDescent="0.3">
      <c r="A739">
        <v>-118.5</v>
      </c>
      <c r="B739">
        <v>34</v>
      </c>
      <c r="C739">
        <v>2025</v>
      </c>
      <c r="D739">
        <v>1</v>
      </c>
      <c r="E739">
        <v>31</v>
      </c>
      <c r="F739">
        <f>Sayfa1!C739-273.15</f>
        <v>9.3725830078125227</v>
      </c>
      <c r="G739">
        <v>71.832794189453125</v>
      </c>
      <c r="H739">
        <f>SQRT(Sayfa1!D739^2+Sayfa1!E739^2)</f>
        <v>1.4786916601064193</v>
      </c>
      <c r="I739">
        <f>SUM(Sayfa1!G716:G739)</f>
        <v>1.430511474609375E-3</v>
      </c>
    </row>
    <row r="740" spans="1:9" x14ac:dyDescent="0.3">
      <c r="A740">
        <v>-118.5</v>
      </c>
      <c r="B740">
        <v>34</v>
      </c>
      <c r="C740">
        <v>2025</v>
      </c>
      <c r="D740">
        <v>1</v>
      </c>
      <c r="E740">
        <v>31</v>
      </c>
      <c r="F740">
        <f>Sayfa1!C740-273.15</f>
        <v>10.400415039062523</v>
      </c>
      <c r="G740">
        <v>67.0029296875</v>
      </c>
      <c r="H740">
        <f>SQRT(Sayfa1!D740^2+Sayfa1!E740^2)</f>
        <v>1.4327295158707007</v>
      </c>
      <c r="I740">
        <f>SUM(Sayfa1!G717:G740)</f>
        <v>0</v>
      </c>
    </row>
    <row r="741" spans="1:9" x14ac:dyDescent="0.3">
      <c r="A741">
        <v>-118.5</v>
      </c>
      <c r="B741">
        <v>34</v>
      </c>
      <c r="C741">
        <v>2025</v>
      </c>
      <c r="D741">
        <v>1</v>
      </c>
      <c r="E741">
        <v>31</v>
      </c>
      <c r="F741">
        <f>Sayfa1!C741-273.15</f>
        <v>11.907861328125023</v>
      </c>
      <c r="G741">
        <v>61.836929321289063</v>
      </c>
      <c r="H741">
        <f>SQRT(Sayfa1!D741^2+Sayfa1!E741^2)</f>
        <v>1.620801867281674</v>
      </c>
      <c r="I741">
        <f>SUM(Sayfa1!G718:G741)</f>
        <v>0</v>
      </c>
    </row>
    <row r="742" spans="1:9" x14ac:dyDescent="0.3">
      <c r="A742">
        <v>-118.5</v>
      </c>
      <c r="B742">
        <v>34</v>
      </c>
      <c r="C742">
        <v>2025</v>
      </c>
      <c r="D742">
        <v>1</v>
      </c>
      <c r="E742">
        <v>31</v>
      </c>
      <c r="F742">
        <f>Sayfa1!C742-273.15</f>
        <v>12.989160156250023</v>
      </c>
      <c r="G742">
        <v>60.465896606445313</v>
      </c>
      <c r="H742">
        <f>SQRT(Sayfa1!D742^2+Sayfa1!E742^2)</f>
        <v>1.9363494206689438</v>
      </c>
      <c r="I742">
        <f>SUM(Sayfa1!G719:G742)</f>
        <v>0</v>
      </c>
    </row>
    <row r="743" spans="1:9" x14ac:dyDescent="0.3">
      <c r="A743">
        <v>-118.5</v>
      </c>
      <c r="B743">
        <v>34</v>
      </c>
      <c r="C743">
        <v>2025</v>
      </c>
      <c r="D743">
        <v>1</v>
      </c>
      <c r="E743">
        <v>31</v>
      </c>
      <c r="F743">
        <f>Sayfa1!C743-273.15</f>
        <v>13.510156250000023</v>
      </c>
      <c r="G743">
        <v>62.03070068359375</v>
      </c>
      <c r="H743">
        <f>SQRT(Sayfa1!D743^2+Sayfa1!E743^2)</f>
        <v>3.1160190283194966</v>
      </c>
      <c r="I743">
        <f>SUM(Sayfa1!G720:G743)</f>
        <v>0</v>
      </c>
    </row>
    <row r="744" spans="1:9" x14ac:dyDescent="0.3">
      <c r="A744">
        <v>-118.5</v>
      </c>
      <c r="B744">
        <v>34</v>
      </c>
      <c r="C744">
        <v>2025</v>
      </c>
      <c r="D744">
        <v>1</v>
      </c>
      <c r="E744">
        <v>31</v>
      </c>
      <c r="F744">
        <f>Sayfa1!C744-273.15</f>
        <v>13.671533203125023</v>
      </c>
      <c r="G744">
        <v>56.762054443359375</v>
      </c>
      <c r="H744">
        <f>SQRT(Sayfa1!D744^2+Sayfa1!E744^2)</f>
        <v>1.3482965196646284</v>
      </c>
      <c r="I744">
        <f>SUM(Sayfa1!G721:G744)</f>
        <v>0</v>
      </c>
    </row>
    <row r="745" spans="1:9" x14ac:dyDescent="0.3">
      <c r="A745">
        <v>-118.5</v>
      </c>
      <c r="B745">
        <v>34</v>
      </c>
      <c r="C745">
        <v>2025</v>
      </c>
      <c r="D745">
        <v>1</v>
      </c>
      <c r="E745">
        <v>31</v>
      </c>
      <c r="F745">
        <f>Sayfa1!C745-273.15</f>
        <v>13.704980468750023</v>
      </c>
      <c r="G745">
        <v>59.694198608398438</v>
      </c>
      <c r="H745">
        <f>SQRT(Sayfa1!D745^2+Sayfa1!E745^2)</f>
        <v>2.7814636035010665</v>
      </c>
      <c r="I745">
        <f>SUM(Sayfa1!G722:G745)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2" sqref="G2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288.859375</v>
      </c>
      <c r="D2">
        <v>1.9752349853515625</v>
      </c>
      <c r="E2">
        <v>1.9313201904296875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287.5904541015625</v>
      </c>
      <c r="D3">
        <v>2.2367095947265625</v>
      </c>
      <c r="E3">
        <v>1.3951568603515625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287.26025390625</v>
      </c>
      <c r="D4">
        <v>1.53997802734375</v>
      </c>
      <c r="E4">
        <v>0.3299713134765625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287.6082763671875</v>
      </c>
      <c r="D5">
        <v>0.2920074462890625</v>
      </c>
      <c r="E5">
        <v>-0.1403350830078125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287.755859375</v>
      </c>
      <c r="D6">
        <v>-0.4546661376953125</v>
      </c>
      <c r="E6">
        <v>-0.40826416015625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287.7457275390625</v>
      </c>
      <c r="D7">
        <v>-0.4724578857421875</v>
      </c>
      <c r="E7">
        <v>-0.672149658203125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287.7889404296875</v>
      </c>
      <c r="D8">
        <v>-0.200164794921875</v>
      </c>
      <c r="E8">
        <v>-1.0035552978515625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287.814697265625</v>
      </c>
      <c r="D9">
        <v>0.1087799072265625</v>
      </c>
      <c r="E9">
        <v>-1.2518157958984375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287.959716796875</v>
      </c>
      <c r="D10">
        <v>0.40313720703125</v>
      </c>
      <c r="E10">
        <v>-1.6483154296875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288.423095703125</v>
      </c>
      <c r="D11">
        <v>0.521636962890625</v>
      </c>
      <c r="E11">
        <v>-2.0052337646484375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287.4228515625</v>
      </c>
      <c r="D12">
        <v>0.1065826416015625</v>
      </c>
      <c r="E12">
        <v>-2.174407958984375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287.817626953125</v>
      </c>
      <c r="D13">
        <v>-4.33349609375E-3</v>
      </c>
      <c r="E13">
        <v>-2.156494140625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288.3115234375</v>
      </c>
      <c r="D14">
        <v>-0.151336669921875</v>
      </c>
      <c r="E14">
        <v>-1.9591217041015625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288.583740234375</v>
      </c>
      <c r="D15">
        <v>-0.4222412109375</v>
      </c>
      <c r="E15">
        <v>-1.887908935546875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288.884033203125</v>
      </c>
      <c r="D16">
        <v>-0.6876373291015625</v>
      </c>
      <c r="E16">
        <v>-1.658203125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289.0244140625</v>
      </c>
      <c r="D17">
        <v>-0.89385986328125</v>
      </c>
      <c r="E17">
        <v>-1.6158905029296875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289.237548828125</v>
      </c>
      <c r="D18">
        <v>-0.9913482666015625</v>
      </c>
      <c r="E18">
        <v>-1.6894073486328125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289.5450439453125</v>
      </c>
      <c r="D19">
        <v>-0.7884063720703125</v>
      </c>
      <c r="E19">
        <v>-1.4008331298828125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289.3282470703125</v>
      </c>
      <c r="D20">
        <v>-0.299713134765625</v>
      </c>
      <c r="E20">
        <v>-0.7407989501953125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290.3209228515625</v>
      </c>
      <c r="D21">
        <v>0.302032470703125</v>
      </c>
      <c r="E21">
        <v>-0.162567138671875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291.90087890625</v>
      </c>
      <c r="D22">
        <v>1.0588226318359375</v>
      </c>
      <c r="E22">
        <v>0.3009185791015625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292.783203125</v>
      </c>
      <c r="D23">
        <v>1.95465087890625</v>
      </c>
      <c r="E23">
        <v>1.1670684814453125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291.01806640625</v>
      </c>
      <c r="D24">
        <v>1.805511474609375</v>
      </c>
      <c r="E24">
        <v>1.1487884521484375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291.27734375</v>
      </c>
      <c r="D25">
        <v>1.94683837890625</v>
      </c>
      <c r="E25">
        <v>0.8881378173828125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290.96337890625</v>
      </c>
      <c r="D26">
        <v>2.0933990478515625</v>
      </c>
      <c r="E26">
        <v>0.7723541259765625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290.755859375</v>
      </c>
      <c r="D27">
        <v>1.4044189453125</v>
      </c>
      <c r="E27">
        <v>0.34259033203125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290.99658203125</v>
      </c>
      <c r="D28">
        <v>0.3267822265625</v>
      </c>
      <c r="E28">
        <v>-0.5416259765625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291.1302490234375</v>
      </c>
      <c r="D29">
        <v>-0.309173583984375</v>
      </c>
      <c r="E29">
        <v>-0.702392578125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290.982666015625</v>
      </c>
      <c r="D30">
        <v>-0.63006591796875</v>
      </c>
      <c r="E30">
        <v>-0.5808258056640625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290.8646240234375</v>
      </c>
      <c r="D31">
        <v>-0.9344635009765625</v>
      </c>
      <c r="E31">
        <v>-0.677276611328125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290.7322998046875</v>
      </c>
      <c r="D32">
        <v>-1.05438232421875</v>
      </c>
      <c r="E32">
        <v>-0.794219970703125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290.786376953125</v>
      </c>
      <c r="D33">
        <v>-0.761444091796875</v>
      </c>
      <c r="E33">
        <v>-1.2432098388671875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291.3310546875</v>
      </c>
      <c r="D34">
        <v>-0.357391357421875</v>
      </c>
      <c r="E34">
        <v>-1.6222381591796875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291.867431640625</v>
      </c>
      <c r="D35">
        <v>-0.104766845703125</v>
      </c>
      <c r="E35">
        <v>-1.4796905517578125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291.409912109375</v>
      </c>
      <c r="D36">
        <v>-0.7237548828125</v>
      </c>
      <c r="E36">
        <v>-1.7626190185546875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291.869873046875</v>
      </c>
      <c r="D37">
        <v>-0.9652862548828125</v>
      </c>
      <c r="E37">
        <v>-2.07183837890625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292.162109375</v>
      </c>
      <c r="D38">
        <v>-1.2180328369140625</v>
      </c>
      <c r="E38">
        <v>-1.9684295654296875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292.1134033203125</v>
      </c>
      <c r="D39">
        <v>-1.68109130859375</v>
      </c>
      <c r="E39">
        <v>-1.7899169921875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291.7911376953125</v>
      </c>
      <c r="D40">
        <v>-1.9283599853515625</v>
      </c>
      <c r="E40">
        <v>-1.791961669921875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291.580810546875</v>
      </c>
      <c r="D41">
        <v>-1.8983612060546875</v>
      </c>
      <c r="E41">
        <v>-1.8129730224609375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291.4869384765625</v>
      </c>
      <c r="D42">
        <v>-1.672698974609375</v>
      </c>
      <c r="E42">
        <v>-1.8669281005859375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291.7716064453125</v>
      </c>
      <c r="D43">
        <v>-1.4747161865234375</v>
      </c>
      <c r="E43">
        <v>-1.857147216796875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292.2803955078125</v>
      </c>
      <c r="D44">
        <v>-1.422821044921875</v>
      </c>
      <c r="E44">
        <v>-1.8042144775390625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292.985107421875</v>
      </c>
      <c r="D45">
        <v>-1.0638427734375</v>
      </c>
      <c r="E45">
        <v>-1.3146820068359375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295.0228271484375</v>
      </c>
      <c r="D46">
        <v>-0.7833251953125</v>
      </c>
      <c r="E46">
        <v>-0.6643524169921875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296.203369140625</v>
      </c>
      <c r="D47">
        <v>-0.21136474609375</v>
      </c>
      <c r="E47">
        <v>0.2148590087890625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295.76123046875</v>
      </c>
      <c r="D48">
        <v>0.7966461181640625</v>
      </c>
      <c r="E48">
        <v>0.120574951171875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295.845703125</v>
      </c>
      <c r="D49">
        <v>1.2537994384765625</v>
      </c>
      <c r="E49">
        <v>0.2017669677734375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295.4224853515625</v>
      </c>
      <c r="D50">
        <v>1.8016204833984375</v>
      </c>
      <c r="E50">
        <v>0.423248291015625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294.7061767578125</v>
      </c>
      <c r="D51">
        <v>1.96954345703125</v>
      </c>
      <c r="E51">
        <v>-9.22088623046875E-2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293.8935546875</v>
      </c>
      <c r="D52">
        <v>1.13006591796875</v>
      </c>
      <c r="E52">
        <v>-0.635589599609375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293.15673828125</v>
      </c>
      <c r="D53">
        <v>0.24517822265625</v>
      </c>
      <c r="E53">
        <v>-0.7784271240234375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292.4742431640625</v>
      </c>
      <c r="D54">
        <v>-0.4370269775390625</v>
      </c>
      <c r="E54">
        <v>-0.583282470703125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291.717041015625</v>
      </c>
      <c r="D55">
        <v>-1.1610870361328125</v>
      </c>
      <c r="E55">
        <v>-0.4301300048828125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290.98974609375</v>
      </c>
      <c r="D56">
        <v>-1.8213653564453125</v>
      </c>
      <c r="E56">
        <v>-0.12896728515625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290.5416259765625</v>
      </c>
      <c r="D57">
        <v>-2.0109710693359375</v>
      </c>
      <c r="E57">
        <v>-0.242401123046875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290.450439453125</v>
      </c>
      <c r="D58">
        <v>-1.893402099609375</v>
      </c>
      <c r="E58">
        <v>-0.427886962890625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290.434326171875</v>
      </c>
      <c r="D59">
        <v>-1.644805908203125</v>
      </c>
      <c r="E59">
        <v>-0.3696136474609375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289.58642578125</v>
      </c>
      <c r="D60">
        <v>-1.2186737060546875</v>
      </c>
      <c r="E60">
        <v>-1.0332794189453125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289.89111328125</v>
      </c>
      <c r="D61">
        <v>-0.6323089599609375</v>
      </c>
      <c r="E61">
        <v>-0.838226318359375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289.712646484375</v>
      </c>
      <c r="D62">
        <v>-0.5588531494140625</v>
      </c>
      <c r="E62">
        <v>-0.9008941650390625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289.55224609375</v>
      </c>
      <c r="D63">
        <v>-0.621368408203125</v>
      </c>
      <c r="E63">
        <v>-1.0434112548828125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289.43017578125</v>
      </c>
      <c r="D64">
        <v>-2.73895263671875E-2</v>
      </c>
      <c r="E64">
        <v>-0.91375732421875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289.203369140625</v>
      </c>
      <c r="D65">
        <v>0.1429290771484375</v>
      </c>
      <c r="E65">
        <v>-0.821441650390625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288.882080078125</v>
      </c>
      <c r="D66">
        <v>-0.12506103515625</v>
      </c>
      <c r="E66">
        <v>-0.54241943359375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288.517578125</v>
      </c>
      <c r="D67">
        <v>-0.775146484375</v>
      </c>
      <c r="E67">
        <v>8.23822021484375E-2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287.9326171875</v>
      </c>
      <c r="D68">
        <v>-0.877166748046875</v>
      </c>
      <c r="E68">
        <v>0.90655517578125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288.31298828125</v>
      </c>
      <c r="D69">
        <v>-4.03900146484375E-2</v>
      </c>
      <c r="E69">
        <v>1.3098907470703125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289.068603515625</v>
      </c>
      <c r="D70">
        <v>1.5930328369140625</v>
      </c>
      <c r="E70">
        <v>1.4390411376953125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289.4130859375</v>
      </c>
      <c r="D71">
        <v>2.56292724609375</v>
      </c>
      <c r="E71">
        <v>0.7235870361328125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289.233154296875</v>
      </c>
      <c r="D72">
        <v>-0.35107421875</v>
      </c>
      <c r="E72">
        <v>1.0798492431640625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289.733154296875</v>
      </c>
      <c r="D73">
        <v>-1.7093505859375</v>
      </c>
      <c r="E73">
        <v>2.340423583984375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289.224365234375</v>
      </c>
      <c r="D74">
        <v>-0.5711517333984375</v>
      </c>
      <c r="E74">
        <v>2.5794830322265625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287.904052734375</v>
      </c>
      <c r="D75">
        <v>3.064300537109375</v>
      </c>
      <c r="E75">
        <v>1.49468994140625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286.6231689453125</v>
      </c>
      <c r="D76">
        <v>3.56842041015625</v>
      </c>
      <c r="E76">
        <v>0.5847625732421875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286.0972900390625</v>
      </c>
      <c r="D77">
        <v>2.84765625</v>
      </c>
      <c r="E77">
        <v>-7.02667236328125E-2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285.8603515625</v>
      </c>
      <c r="D78">
        <v>1.873321533203125</v>
      </c>
      <c r="E78">
        <v>-0.503326416015625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285.6397705078125</v>
      </c>
      <c r="D79">
        <v>0.3276519775390625</v>
      </c>
      <c r="E79">
        <v>5.80291748046875E-2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285.326171875</v>
      </c>
      <c r="D80">
        <v>-0.3759307861328125</v>
      </c>
      <c r="E80">
        <v>0.3252716064453125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285.2889404296875</v>
      </c>
      <c r="D81">
        <v>-0.619873046875</v>
      </c>
      <c r="E81">
        <v>-0.3040313720703125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285.325439453125</v>
      </c>
      <c r="D82">
        <v>-1.575408935546875</v>
      </c>
      <c r="E82">
        <v>0.349517822265625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285.2706298828125</v>
      </c>
      <c r="D83">
        <v>-1.5675506591796875</v>
      </c>
      <c r="E83">
        <v>-0.16229248046875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284.3416748046875</v>
      </c>
      <c r="D84">
        <v>-1.5084991455078125</v>
      </c>
      <c r="E84">
        <v>0.1125946044921875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284.477294921875</v>
      </c>
      <c r="D85">
        <v>-1.82354736328125</v>
      </c>
      <c r="E85">
        <v>-0.3427734375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284.50534057617188</v>
      </c>
      <c r="D86">
        <v>-1.99127197265625</v>
      </c>
      <c r="E86">
        <v>-0.7228851318359375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284.66021728515625</v>
      </c>
      <c r="D87">
        <v>-1.635406494140625</v>
      </c>
      <c r="E87">
        <v>-0.9344940185546875</v>
      </c>
      <c r="F87">
        <v>9.5367431640625E-7</v>
      </c>
      <c r="G87">
        <f>Sayfa1!F87*1000</f>
        <v>9.5367431640625E-4</v>
      </c>
    </row>
    <row r="88" spans="2:7" x14ac:dyDescent="0.3">
      <c r="B88" s="1">
        <v>0.58333333333333337</v>
      </c>
      <c r="C88">
        <v>284.969970703125</v>
      </c>
      <c r="D88">
        <v>-1.041748046875</v>
      </c>
      <c r="E88">
        <v>-0.91357421875</v>
      </c>
      <c r="F88">
        <v>7.152557373046875E-6</v>
      </c>
      <c r="G88">
        <f>Sayfa1!F88*1000</f>
        <v>7.152557373046875E-3</v>
      </c>
    </row>
    <row r="89" spans="2:7" x14ac:dyDescent="0.3">
      <c r="B89" s="1">
        <v>0.625</v>
      </c>
      <c r="C89">
        <v>284.96435546875</v>
      </c>
      <c r="D89">
        <v>-0.3738555908203125</v>
      </c>
      <c r="E89">
        <v>-0.76715087890625</v>
      </c>
      <c r="F89">
        <v>1.9073486328125E-6</v>
      </c>
      <c r="G89">
        <f>Sayfa1!F89*1000</f>
        <v>1.9073486328125E-3</v>
      </c>
    </row>
    <row r="90" spans="2:7" x14ac:dyDescent="0.3">
      <c r="B90" s="1">
        <v>0.66666666666666663</v>
      </c>
      <c r="C90">
        <v>284.68075561523438</v>
      </c>
      <c r="D90">
        <v>0.467864990234375</v>
      </c>
      <c r="E90">
        <v>-0.93841552734375</v>
      </c>
      <c r="F90">
        <v>1.9073486328125E-6</v>
      </c>
      <c r="G90">
        <f>Sayfa1!F90*1000</f>
        <v>1.9073486328125E-3</v>
      </c>
    </row>
    <row r="91" spans="2:7" x14ac:dyDescent="0.3">
      <c r="B91" s="1">
        <v>0.70833333333333337</v>
      </c>
      <c r="C91">
        <v>284.49404907226563</v>
      </c>
      <c r="D91">
        <v>0.2584075927734375</v>
      </c>
      <c r="E91">
        <v>-1.143341064453125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285.20123291015625</v>
      </c>
      <c r="D92">
        <v>-3.25469970703125E-2</v>
      </c>
      <c r="E92">
        <v>-0.8515777587890625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286.861328125</v>
      </c>
      <c r="D93">
        <v>0.105194091796875</v>
      </c>
      <c r="E93">
        <v>-0.6046905517578125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288.272705078125</v>
      </c>
      <c r="D94">
        <v>0.6653594970703125</v>
      </c>
      <c r="E94">
        <v>-0.6295013427734375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289.5594482421875</v>
      </c>
      <c r="D95">
        <v>1.4160003662109375</v>
      </c>
      <c r="E95">
        <v>-0.707000732421875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288.7359619140625</v>
      </c>
      <c r="D96">
        <v>1.2324371337890625</v>
      </c>
      <c r="E96">
        <v>0.679840087890625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289.287109375</v>
      </c>
      <c r="D97">
        <v>1.701812744140625</v>
      </c>
      <c r="E97">
        <v>0.4377593994140625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289.291259765625</v>
      </c>
      <c r="D98">
        <v>1.864044189453125</v>
      </c>
      <c r="E98">
        <v>0.2479248046875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288.9664306640625</v>
      </c>
      <c r="D99">
        <v>1.9846343994140625</v>
      </c>
      <c r="E99">
        <v>0.4619903564453125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288.619873046875</v>
      </c>
      <c r="D100">
        <v>1.6692962646484375</v>
      </c>
      <c r="E100">
        <v>-0.2829437255859375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288.39276123046875</v>
      </c>
      <c r="D101">
        <v>1.326568603515625</v>
      </c>
      <c r="E101">
        <v>-1.05194091796875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288.41351318359375</v>
      </c>
      <c r="D102">
        <v>1.03302001953125</v>
      </c>
      <c r="E102">
        <v>-1.7983551025390625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288.773193359375</v>
      </c>
      <c r="D103">
        <v>0.3621368408203125</v>
      </c>
      <c r="E103">
        <v>-2.2642822265625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288.8817138671875</v>
      </c>
      <c r="D104">
        <v>-0.41436767578125</v>
      </c>
      <c r="E104">
        <v>-2.6519622802734375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288.7572021484375</v>
      </c>
      <c r="D105">
        <v>-0.7070465087890625</v>
      </c>
      <c r="E105">
        <v>-2.8356475830078125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288.64990234375</v>
      </c>
      <c r="D106">
        <v>-0.5237884521484375</v>
      </c>
      <c r="E106">
        <v>-2.965057373046875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288.601806640625</v>
      </c>
      <c r="D107">
        <v>-0.3829498291015625</v>
      </c>
      <c r="E107">
        <v>-3.0909881591796875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288.8662109375</v>
      </c>
      <c r="D108">
        <v>-0.7528533935546875</v>
      </c>
      <c r="E108">
        <v>-2.9739990234375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288.900634765625</v>
      </c>
      <c r="D109">
        <v>-0.957794189453125</v>
      </c>
      <c r="E109">
        <v>-3.1513519287109375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289.1583251953125</v>
      </c>
      <c r="D110">
        <v>-1.1502685546875</v>
      </c>
      <c r="E110">
        <v>-2.8471527099609375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289.37548828125</v>
      </c>
      <c r="D111">
        <v>-1.1260986328125</v>
      </c>
      <c r="E111">
        <v>-2.77386474609375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289.6485595703125</v>
      </c>
      <c r="D112">
        <v>-1.1048736572265625</v>
      </c>
      <c r="E112">
        <v>-2.774322509765625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289.88623046875</v>
      </c>
      <c r="D113">
        <v>-1.12860107421875</v>
      </c>
      <c r="E113">
        <v>-2.68829345703125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290.1806640625</v>
      </c>
      <c r="D114">
        <v>-1.021026611328125</v>
      </c>
      <c r="E114">
        <v>-2.53887939453125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290.4813232421875</v>
      </c>
      <c r="D115">
        <v>-0.7996978759765625</v>
      </c>
      <c r="E115">
        <v>-2.4543609619140625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290.427978515625</v>
      </c>
      <c r="D116">
        <v>-0.3565521240234375</v>
      </c>
      <c r="E116">
        <v>-2.199615478515625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291.6334228515625</v>
      </c>
      <c r="D117">
        <v>-8.03985595703125E-2</v>
      </c>
      <c r="E117">
        <v>-1.76904296875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293.5</v>
      </c>
      <c r="D118">
        <v>-0.1023712158203125</v>
      </c>
      <c r="E118">
        <v>-1.33624267578125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294.7154541015625</v>
      </c>
      <c r="D119">
        <v>0.1254425048828125</v>
      </c>
      <c r="E119">
        <v>-0.6945343017578125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294.8768310546875</v>
      </c>
      <c r="D120">
        <v>1.6280059814453125</v>
      </c>
      <c r="E120">
        <v>0.2090606689453125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294.8824462890625</v>
      </c>
      <c r="D121">
        <v>2.1897735595703125</v>
      </c>
      <c r="E121">
        <v>0.12664794921875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294.4476318359375</v>
      </c>
      <c r="D122">
        <v>3.0030059814453125</v>
      </c>
      <c r="E122">
        <v>0.1437225341796875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294.2142333984375</v>
      </c>
      <c r="D123">
        <v>3.3412017822265625</v>
      </c>
      <c r="E123">
        <v>-0.4437408447265625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294.02874755859375</v>
      </c>
      <c r="D124">
        <v>2.2881317138671875</v>
      </c>
      <c r="E124">
        <v>-1.219970703125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293.639404296875</v>
      </c>
      <c r="D125">
        <v>1.1761016845703125</v>
      </c>
      <c r="E125">
        <v>-1.7955322265625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293.48297119140625</v>
      </c>
      <c r="D126">
        <v>0.1477813720703125</v>
      </c>
      <c r="E126">
        <v>-2.054412841796875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293.43215942382813</v>
      </c>
      <c r="D127">
        <v>-0.4526824951171875</v>
      </c>
      <c r="E127">
        <v>-1.9566497802734375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293.35305786132813</v>
      </c>
      <c r="D128">
        <v>-0.6622161865234375</v>
      </c>
      <c r="E128">
        <v>-1.9014892578125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293.2650146484375</v>
      </c>
      <c r="D129">
        <v>-0.61590576171875</v>
      </c>
      <c r="E129">
        <v>-1.90435791015625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293.069580078125</v>
      </c>
      <c r="D130">
        <v>-0.4742431640625</v>
      </c>
      <c r="E130">
        <v>-1.84912109375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292.80950927734375</v>
      </c>
      <c r="D131">
        <v>-0.5294036865234375</v>
      </c>
      <c r="E131">
        <v>-1.9730987548828125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292.460693359375</v>
      </c>
      <c r="D132">
        <v>-1.1158599853515625</v>
      </c>
      <c r="E132">
        <v>-1.4708251953125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292.1865234375</v>
      </c>
      <c r="D133">
        <v>-0.74090576171875</v>
      </c>
      <c r="E133">
        <v>-2.0075531005859375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292.1611328125</v>
      </c>
      <c r="D134">
        <v>-0.72650146484375</v>
      </c>
      <c r="E134">
        <v>-1.7530670166015625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291.9781494140625</v>
      </c>
      <c r="D135">
        <v>-0.5065155029296875</v>
      </c>
      <c r="E135">
        <v>-1.971923828125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292.040283203125</v>
      </c>
      <c r="D136">
        <v>-0.855377197265625</v>
      </c>
      <c r="E136">
        <v>-1.9984893798828125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291.9794921875</v>
      </c>
      <c r="D137">
        <v>-0.94122314453125</v>
      </c>
      <c r="E137">
        <v>-1.5334014892578125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291.513671875</v>
      </c>
      <c r="D138">
        <v>-0.7320098876953125</v>
      </c>
      <c r="E138">
        <v>-1.083648681640625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291.02685546875</v>
      </c>
      <c r="D139">
        <v>-0.568603515625</v>
      </c>
      <c r="E139">
        <v>-0.8184967041015625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290.6162109375</v>
      </c>
      <c r="D140">
        <v>-0.61273193359375</v>
      </c>
      <c r="E140">
        <v>-0.4442138671875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291.853271484375</v>
      </c>
      <c r="D141">
        <v>0.216827392578125</v>
      </c>
      <c r="E141">
        <v>0.1379547119140625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293.0142822265625</v>
      </c>
      <c r="D142">
        <v>1.1864471435546875</v>
      </c>
      <c r="E142">
        <v>1.0602874755859375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293.442626953125</v>
      </c>
      <c r="D143">
        <v>1.698486328125</v>
      </c>
      <c r="E143">
        <v>1.838958740234375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292.9644775390625</v>
      </c>
      <c r="D144">
        <v>1.751312255859375</v>
      </c>
      <c r="E144">
        <v>2.4160919189453125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292.6015625</v>
      </c>
      <c r="D145">
        <v>1.5275726318359375</v>
      </c>
      <c r="E145">
        <v>2.2189788818359375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291.52587890625</v>
      </c>
      <c r="D146">
        <v>1.015533447265625</v>
      </c>
      <c r="E146">
        <v>2.430267333984375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290.501220703125</v>
      </c>
      <c r="D147">
        <v>0.1239013671875</v>
      </c>
      <c r="E147">
        <v>1.546630859375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289.8118896484375</v>
      </c>
      <c r="D148">
        <v>-0.8915252685546875</v>
      </c>
      <c r="E148">
        <v>1.3983612060546875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289.283447265625</v>
      </c>
      <c r="D149">
        <v>-1.3941192626953125</v>
      </c>
      <c r="E149">
        <v>0.888031005859375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288.8173828125</v>
      </c>
      <c r="D150">
        <v>-1.5827789306640625</v>
      </c>
      <c r="E150">
        <v>0.5412750244140625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288.6123046875</v>
      </c>
      <c r="D151">
        <v>-1.7455902099609375</v>
      </c>
      <c r="E151">
        <v>-0.2677154541015625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288.400634765625</v>
      </c>
      <c r="D152">
        <v>-1.8893585205078125</v>
      </c>
      <c r="E152">
        <v>-0.7441864013671875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288.37396240234375</v>
      </c>
      <c r="D153">
        <v>-2.132568359375</v>
      </c>
      <c r="E153">
        <v>-1.331146240234375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288.314697265625</v>
      </c>
      <c r="D154">
        <v>-1.9340667724609375</v>
      </c>
      <c r="E154">
        <v>-1.930389404296875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288.19940185546875</v>
      </c>
      <c r="D155">
        <v>-1.508880615234375</v>
      </c>
      <c r="E155">
        <v>-1.9916229248046875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288.8482666015625</v>
      </c>
      <c r="D156">
        <v>-0.9231719970703125</v>
      </c>
      <c r="E156">
        <v>-1.5357818603515625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288.232421875</v>
      </c>
      <c r="D157">
        <v>-8.52813720703125E-2</v>
      </c>
      <c r="E157">
        <v>-2.7672882080078125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288.03216552734375</v>
      </c>
      <c r="D158">
        <v>-0.1636505126953125</v>
      </c>
      <c r="E158">
        <v>-2.99615478515625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288.259521484375</v>
      </c>
      <c r="D159">
        <v>-9.24835205078125E-2</v>
      </c>
      <c r="E159">
        <v>-3.327423095703125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288.2156982421875</v>
      </c>
      <c r="D160">
        <v>-0.411712646484375</v>
      </c>
      <c r="E160">
        <v>-3.8564605712890625</v>
      </c>
      <c r="F160" s="3">
        <v>9.5367431640625E-7</v>
      </c>
      <c r="G160">
        <f>Sayfa1!F160*1000</f>
        <v>9.5367431640625E-4</v>
      </c>
    </row>
    <row r="161" spans="2:7" x14ac:dyDescent="0.3">
      <c r="B161" s="1">
        <v>0.625</v>
      </c>
      <c r="C161">
        <v>288.0299072265625</v>
      </c>
      <c r="D161">
        <v>-1.1645965576171875</v>
      </c>
      <c r="E161">
        <v>-4.29937744140625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288.21087646484375</v>
      </c>
      <c r="D162">
        <v>-1.8310394287109375</v>
      </c>
      <c r="E162">
        <v>-5.1975860595703125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288.65203857421875</v>
      </c>
      <c r="D163">
        <v>-2.19189453125</v>
      </c>
      <c r="E163">
        <v>-6.2823944091796875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289.54998779296875</v>
      </c>
      <c r="D164">
        <v>-3.343719482421875</v>
      </c>
      <c r="E164">
        <v>-7.0675048828125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290.64312744140625</v>
      </c>
      <c r="D165">
        <v>-3.2591094970703125</v>
      </c>
      <c r="E165">
        <v>-6.7274627685546875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291.71331787109375</v>
      </c>
      <c r="D166">
        <v>-3.2365264892578125</v>
      </c>
      <c r="E166">
        <v>-6.84375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292.57080078125</v>
      </c>
      <c r="D167">
        <v>-3.5000152587890625</v>
      </c>
      <c r="E167">
        <v>-6.9224853515625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292.820068359375</v>
      </c>
      <c r="D168">
        <v>-3.4395904541015625</v>
      </c>
      <c r="E168">
        <v>-7.8091583251953125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292.9039306640625</v>
      </c>
      <c r="D169">
        <v>-3.2285308837890625</v>
      </c>
      <c r="E169">
        <v>-8.4287109375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292.78497314453125</v>
      </c>
      <c r="D170">
        <v>-2.6488189697265625</v>
      </c>
      <c r="E170">
        <v>-7.6078643798828125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292.2803955078125</v>
      </c>
      <c r="D171">
        <v>-1.5208587646484375</v>
      </c>
      <c r="E171">
        <v>-6.822296142578125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291.5733642578125</v>
      </c>
      <c r="D172">
        <v>-1.217193603515625</v>
      </c>
      <c r="E172">
        <v>-6.97357177734375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290.962158203125</v>
      </c>
      <c r="D173">
        <v>-1.971527099609375</v>
      </c>
      <c r="E173">
        <v>-7.200469970703125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290.384033203125</v>
      </c>
      <c r="D174">
        <v>-2.6088409423828125</v>
      </c>
      <c r="E174">
        <v>-7.935638427734375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289.819091796875</v>
      </c>
      <c r="D175">
        <v>-3.0687713623046875</v>
      </c>
      <c r="E175">
        <v>-8.6701507568359375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289.12103271484375</v>
      </c>
      <c r="D176">
        <v>-2.8483123779296875</v>
      </c>
      <c r="E176">
        <v>-9.0115203857421875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288.49896240234375</v>
      </c>
      <c r="D177">
        <v>-3.2508697509765625</v>
      </c>
      <c r="E177">
        <v>-9.1661834716796875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288.0513916015625</v>
      </c>
      <c r="D178">
        <v>-3.661376953125</v>
      </c>
      <c r="E178">
        <v>-8.952117919921875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287.67919921875</v>
      </c>
      <c r="D179">
        <v>-3.23046875</v>
      </c>
      <c r="E179">
        <v>-9.2097930908203125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289.59844970703125</v>
      </c>
      <c r="D180">
        <v>-2.9591827392578125</v>
      </c>
      <c r="E180">
        <v>-9.284912109375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289.68988037109375</v>
      </c>
      <c r="D181">
        <v>-3.6828155517578125</v>
      </c>
      <c r="E181">
        <v>-8.446685791015625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289.74383544921875</v>
      </c>
      <c r="D182">
        <v>-3.7432098388671875</v>
      </c>
      <c r="E182">
        <v>-6.6805267333984375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289.52154541015625</v>
      </c>
      <c r="D183">
        <v>-2.75909423828125</v>
      </c>
      <c r="E183">
        <v>-5.714569091796875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289.2349853515625</v>
      </c>
      <c r="D184">
        <v>-2.102813720703125</v>
      </c>
      <c r="E184">
        <v>-5.50823974609375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288.956298828125</v>
      </c>
      <c r="D185">
        <v>-1.103546142578125</v>
      </c>
      <c r="E185">
        <v>-5.901275634765625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288.6326904296875</v>
      </c>
      <c r="D186">
        <v>-0.774688720703125</v>
      </c>
      <c r="E186">
        <v>-7.4242095947265625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288.872802734375</v>
      </c>
      <c r="D187">
        <v>-1.0377197265625</v>
      </c>
      <c r="E187">
        <v>-8.410400390625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289.95703125</v>
      </c>
      <c r="D188">
        <v>-2.8477325439453125</v>
      </c>
      <c r="E188">
        <v>-7.1887969970703125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291.1241455078125</v>
      </c>
      <c r="D189">
        <v>-4.2988128662109375</v>
      </c>
      <c r="E189">
        <v>-5.487060546875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292.079833984375</v>
      </c>
      <c r="D190">
        <v>-4.2336883544921875</v>
      </c>
      <c r="E190">
        <v>-4.8755645751953125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292.7708740234375</v>
      </c>
      <c r="D191">
        <v>-3.3028411865234375</v>
      </c>
      <c r="E191">
        <v>-5.1640625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293.309326171875</v>
      </c>
      <c r="D192">
        <v>-1.6920623779296875</v>
      </c>
      <c r="E192">
        <v>-7.3061676025390625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293.9898681640625</v>
      </c>
      <c r="D193">
        <v>-2.0889739990234375</v>
      </c>
      <c r="E193">
        <v>-5.927032470703125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294.12420654296875</v>
      </c>
      <c r="D194">
        <v>-0.654510498046875</v>
      </c>
      <c r="E194">
        <v>-5.827056884765625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293.69244384765625</v>
      </c>
      <c r="D195">
        <v>0.160919189453125</v>
      </c>
      <c r="E195">
        <v>-6.432342529296875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293.14935302734375</v>
      </c>
      <c r="D196">
        <v>8.64105224609375E-2</v>
      </c>
      <c r="E196">
        <v>-6.307708740234375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292.73468017578125</v>
      </c>
      <c r="D197">
        <v>0.101776123046875</v>
      </c>
      <c r="E197">
        <v>-5.8172760009765625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292.433349609375</v>
      </c>
      <c r="D198">
        <v>0.183807373046875</v>
      </c>
      <c r="E198">
        <v>-5.8735809326171875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292.23150634765625</v>
      </c>
      <c r="D199">
        <v>-0.4223785400390625</v>
      </c>
      <c r="E199">
        <v>-5.6773834228515625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292.18707275390625</v>
      </c>
      <c r="D200">
        <v>-0.628326416015625</v>
      </c>
      <c r="E200">
        <v>-5.262664794921875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292.2073974609375</v>
      </c>
      <c r="D201">
        <v>-0.5100860595703125</v>
      </c>
      <c r="E201">
        <v>-4.7671661376953125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292.23876953125</v>
      </c>
      <c r="D202">
        <v>-0.3106536865234375</v>
      </c>
      <c r="E202">
        <v>-4.058135986328125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292.19024658203125</v>
      </c>
      <c r="D203">
        <v>-0.18017578125</v>
      </c>
      <c r="E203">
        <v>-3.33404541015625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291.52264404296875</v>
      </c>
      <c r="D204">
        <v>-0.4653778076171875</v>
      </c>
      <c r="E204">
        <v>-2.632110595703125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291.2919921875</v>
      </c>
      <c r="D205">
        <v>-0.5060577392578125</v>
      </c>
      <c r="E205">
        <v>-2.6204681396484375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291.187255859375</v>
      </c>
      <c r="D206">
        <v>-8.8348388671875E-2</v>
      </c>
      <c r="E206">
        <v>-2.1785736083984375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290.856201171875</v>
      </c>
      <c r="D207">
        <v>-0.225982666015625</v>
      </c>
      <c r="E207">
        <v>-2.1085052490234375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290.5347900390625</v>
      </c>
      <c r="D208">
        <v>-0.57098388671875</v>
      </c>
      <c r="E208">
        <v>-2.1050262451171875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290.2763671875</v>
      </c>
      <c r="D209">
        <v>-0.679534912109375</v>
      </c>
      <c r="E209">
        <v>-2.0885772705078125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290.08282470703125</v>
      </c>
      <c r="D210">
        <v>-0.58502197265625</v>
      </c>
      <c r="E210">
        <v>-2.0349578857421875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290.13897705078125</v>
      </c>
      <c r="D211">
        <v>-0.473480224609375</v>
      </c>
      <c r="E211">
        <v>-1.7493743896484375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290.25958251953125</v>
      </c>
      <c r="D212">
        <v>-0.565643310546875</v>
      </c>
      <c r="E212">
        <v>-1.757965087890625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291.707275390625</v>
      </c>
      <c r="D213">
        <v>-1.0535888671875</v>
      </c>
      <c r="E213">
        <v>-1.8795166015625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293.36004638671875</v>
      </c>
      <c r="D214">
        <v>-0.8824920654296875</v>
      </c>
      <c r="E214">
        <v>-1.493377685546875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294.4207763671875</v>
      </c>
      <c r="D215">
        <v>-1.1182098388671875</v>
      </c>
      <c r="E215">
        <v>-1.2947998046875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294.4468994140625</v>
      </c>
      <c r="D216">
        <v>0.4580535888671875</v>
      </c>
      <c r="E216">
        <v>0.901031494140625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294.19927978515625</v>
      </c>
      <c r="D217">
        <v>0.9649658203125</v>
      </c>
      <c r="E217">
        <v>1.2159881591796875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293.806884765625</v>
      </c>
      <c r="D218">
        <v>1.704193115234375</v>
      </c>
      <c r="E218">
        <v>0.80657958984375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293.6600341796875</v>
      </c>
      <c r="D219">
        <v>2.181610107421875</v>
      </c>
      <c r="E219">
        <v>0.5648193359375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293.60888671875</v>
      </c>
      <c r="D220">
        <v>1.578948974609375</v>
      </c>
      <c r="E220">
        <v>-1.2906951904296875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293.79327392578125</v>
      </c>
      <c r="D221">
        <v>0.6375274658203125</v>
      </c>
      <c r="E221">
        <v>-2.560760498046875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293.8734130859375</v>
      </c>
      <c r="D222">
        <v>-0.67132568359375</v>
      </c>
      <c r="E222">
        <v>-3.3787994384765625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293.5020751953125</v>
      </c>
      <c r="D223">
        <v>-1.743499755859375</v>
      </c>
      <c r="E223">
        <v>-3.2199554443359375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293.321044921875</v>
      </c>
      <c r="D224">
        <v>-1.8008575439453125</v>
      </c>
      <c r="E224">
        <v>-2.505950927734375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293.08343505859375</v>
      </c>
      <c r="D225">
        <v>-1.3102569580078125</v>
      </c>
      <c r="E225">
        <v>-2.313690185546875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292.6903076171875</v>
      </c>
      <c r="D226">
        <v>-1.061248779296875</v>
      </c>
      <c r="E226">
        <v>-2.1333465576171875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292.17315673828125</v>
      </c>
      <c r="D227">
        <v>-1.21575927734375</v>
      </c>
      <c r="E227">
        <v>-2.118927001953125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292.7440185546875</v>
      </c>
      <c r="D228">
        <v>-0.8506927490234375</v>
      </c>
      <c r="E228">
        <v>-1.25018310546875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292.128173828125</v>
      </c>
      <c r="D229">
        <v>-0.8072967529296875</v>
      </c>
      <c r="E229">
        <v>-2.0591888427734375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291.4921875</v>
      </c>
      <c r="D230">
        <v>-1.0048980712890625</v>
      </c>
      <c r="E230">
        <v>-2.970550537109375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290.93389892578125</v>
      </c>
      <c r="D231">
        <v>-1.0139312744140625</v>
      </c>
      <c r="E231">
        <v>-3.37835693359375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290.40679931640625</v>
      </c>
      <c r="D232">
        <v>-0.8746795654296875</v>
      </c>
      <c r="E232">
        <v>-3.3218841552734375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289.8062744140625</v>
      </c>
      <c r="D233">
        <v>-0.7897186279296875</v>
      </c>
      <c r="E233">
        <v>-3.320648193359375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289.24798583984375</v>
      </c>
      <c r="D234">
        <v>-0.9296417236328125</v>
      </c>
      <c r="E234">
        <v>-3.281097412109375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288.92999267578125</v>
      </c>
      <c r="D235">
        <v>-1.16693115234375</v>
      </c>
      <c r="E235">
        <v>-2.83038330078125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289.19818115234375</v>
      </c>
      <c r="D236">
        <v>-1.2501373291015625</v>
      </c>
      <c r="E236">
        <v>-2.79241943359375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290.3720703125</v>
      </c>
      <c r="D237">
        <v>-1.0138702392578125</v>
      </c>
      <c r="E237">
        <v>-2.540679931640625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291.80145263671875</v>
      </c>
      <c r="D238">
        <v>-0.5713348388671875</v>
      </c>
      <c r="E238">
        <v>-1.6083984375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292.74261474609375</v>
      </c>
      <c r="D239">
        <v>0.51580810546875</v>
      </c>
      <c r="E239">
        <v>-0.93548583984375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292.086669921875</v>
      </c>
      <c r="D240">
        <v>1.420166015625</v>
      </c>
      <c r="E240">
        <v>0.1715545654296875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292.093505859375</v>
      </c>
      <c r="D241">
        <v>2.7814483642578125</v>
      </c>
      <c r="E241">
        <v>0.6517486572265625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291.5057373046875</v>
      </c>
      <c r="D242">
        <v>3.84765625</v>
      </c>
      <c r="E242">
        <v>0.593017578125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290.6846923828125</v>
      </c>
      <c r="D243">
        <v>4.592987060546875</v>
      </c>
      <c r="E243">
        <v>-3.78570556640625E-2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290.2142333984375</v>
      </c>
      <c r="D244">
        <v>4.520416259765625</v>
      </c>
      <c r="E244">
        <v>-0.837493896484375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289.694091796875</v>
      </c>
      <c r="D245">
        <v>4.060821533203125</v>
      </c>
      <c r="E245">
        <v>-1.4090728759765625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289.2227783203125</v>
      </c>
      <c r="D246">
        <v>3.1749420166015625</v>
      </c>
      <c r="E246">
        <v>-1.78192138671875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289.0377197265625</v>
      </c>
      <c r="D247">
        <v>2.10821533203125</v>
      </c>
      <c r="E247">
        <v>-1.9383392333984375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288.962646484375</v>
      </c>
      <c r="D248">
        <v>1.1971435546875</v>
      </c>
      <c r="E248">
        <v>-1.89727783203125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288.9327392578125</v>
      </c>
      <c r="D249">
        <v>0.479736328125</v>
      </c>
      <c r="E249">
        <v>-1.6476287841796875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288.7908935546875</v>
      </c>
      <c r="D250">
        <v>5.60760498046875E-2</v>
      </c>
      <c r="E250">
        <v>-1.277435302734375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288.44287109375</v>
      </c>
      <c r="D251">
        <v>-0.21844482421875</v>
      </c>
      <c r="E251">
        <v>-0.8162994384765625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287.3521728515625</v>
      </c>
      <c r="D252">
        <v>-1.7881927490234375</v>
      </c>
      <c r="E252">
        <v>0.3957366943359375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286.965087890625</v>
      </c>
      <c r="D253">
        <v>-1.9371185302734375</v>
      </c>
      <c r="E253">
        <v>-0.2171630859375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286.57861328125</v>
      </c>
      <c r="D254">
        <v>-2.2301483154296875</v>
      </c>
      <c r="E254">
        <v>-0.184539794921875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286.51513671875</v>
      </c>
      <c r="D255">
        <v>-2.1888275146484375</v>
      </c>
      <c r="E255">
        <v>-0.3980255126953125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286.552734375</v>
      </c>
      <c r="D256">
        <v>-2.1304473876953125</v>
      </c>
      <c r="E256">
        <v>-0.34423828125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286.6650390625</v>
      </c>
      <c r="D257">
        <v>-2.3719635009765625</v>
      </c>
      <c r="E257">
        <v>-0.4517974853515625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286.679931640625</v>
      </c>
      <c r="D258">
        <v>-2.379425048828125</v>
      </c>
      <c r="E258">
        <v>-0.30804443359375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286.6893310546875</v>
      </c>
      <c r="D259">
        <v>-2.1097412109375</v>
      </c>
      <c r="E259">
        <v>-0.6351165771484375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287.2459716796875</v>
      </c>
      <c r="D260">
        <v>-1.2286529541015625</v>
      </c>
      <c r="E260">
        <v>-0.82666015625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289.43194580078125</v>
      </c>
      <c r="D261">
        <v>-1.0615997314453125</v>
      </c>
      <c r="E261">
        <v>-1.1779022216796875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291.15460205078125</v>
      </c>
      <c r="D262">
        <v>-1.27142333984375</v>
      </c>
      <c r="E262">
        <v>-1.427398681640625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292.460205078125</v>
      </c>
      <c r="D263">
        <v>-0.52447509765625</v>
      </c>
      <c r="E263">
        <v>-1.2282257080078125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292.450439453125</v>
      </c>
      <c r="D264">
        <v>0.997406005859375</v>
      </c>
      <c r="E264">
        <v>-0.137481689453125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292.8748779296875</v>
      </c>
      <c r="D265">
        <v>1.5095977783203125</v>
      </c>
      <c r="E265">
        <v>-1.31494140625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292.7938232421875</v>
      </c>
      <c r="D266">
        <v>2.527740478515625</v>
      </c>
      <c r="E266">
        <v>-1.38104248046875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292.4071044921875</v>
      </c>
      <c r="D267">
        <v>3.461822509765625</v>
      </c>
      <c r="E267">
        <v>-2.337158203125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292.61688232421875</v>
      </c>
      <c r="D268">
        <v>2.71539306640625</v>
      </c>
      <c r="E268">
        <v>-4.0978546142578125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292.7021484375</v>
      </c>
      <c r="D269">
        <v>1.018402099609375</v>
      </c>
      <c r="E269">
        <v>-5.846527099609375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292.1173095703125</v>
      </c>
      <c r="D270">
        <v>-0.3732757568359375</v>
      </c>
      <c r="E270">
        <v>-6.2903289794921875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291.646484375</v>
      </c>
      <c r="D271">
        <v>-0.6025390625</v>
      </c>
      <c r="E271">
        <v>-5.4597320556640625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291.36474609375</v>
      </c>
      <c r="D272">
        <v>-0.6800384521484375</v>
      </c>
      <c r="E272">
        <v>-5.09613037109375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291.13824462890625</v>
      </c>
      <c r="D273">
        <v>-0.1305389404296875</v>
      </c>
      <c r="E273">
        <v>-4.6564178466796875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290.89703369140625</v>
      </c>
      <c r="D274">
        <v>0.5165557861328125</v>
      </c>
      <c r="E274">
        <v>-4.9050445556640625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290.45068359375</v>
      </c>
      <c r="D275">
        <v>-0.1645660400390625</v>
      </c>
      <c r="E275">
        <v>-5.3853912353515625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290.35400390625</v>
      </c>
      <c r="D276">
        <v>-0.878448486328125</v>
      </c>
      <c r="E276">
        <v>-5.1374053955078125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289.90142822265625</v>
      </c>
      <c r="D277">
        <v>-0.7682342529296875</v>
      </c>
      <c r="E277">
        <v>-4.829498291015625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289.51324462890625</v>
      </c>
      <c r="D278">
        <v>-0.138702392578125</v>
      </c>
      <c r="E278">
        <v>-4.9910125732421875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289.32391357421875</v>
      </c>
      <c r="D279">
        <v>-0.1197967529296875</v>
      </c>
      <c r="E279">
        <v>-4.9684295654296875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289.15765380859375</v>
      </c>
      <c r="D280">
        <v>-0.4372406005859375</v>
      </c>
      <c r="E280">
        <v>-4.9846649169921875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288.84735107421875</v>
      </c>
      <c r="D281">
        <v>-0.7235107421875</v>
      </c>
      <c r="E281">
        <v>-5.06097412109375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288.36846923828125</v>
      </c>
      <c r="D282">
        <v>-1.0457305908203125</v>
      </c>
      <c r="E282">
        <v>-4.7872161865234375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287.73236083984375</v>
      </c>
      <c r="D283">
        <v>-1.0969085693359375</v>
      </c>
      <c r="E283">
        <v>-4.70294189453125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288.0919189453125</v>
      </c>
      <c r="D284">
        <v>-1.3607940673828125</v>
      </c>
      <c r="E284">
        <v>-4.622802734375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289.48193359375</v>
      </c>
      <c r="D285">
        <v>-1.6584014892578125</v>
      </c>
      <c r="E285">
        <v>-3.9686737060546875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290.3406982421875</v>
      </c>
      <c r="D286">
        <v>-1.495452880859375</v>
      </c>
      <c r="E286">
        <v>-2.825927734375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291.012939453125</v>
      </c>
      <c r="D287">
        <v>-1.1053466796875</v>
      </c>
      <c r="E287">
        <v>-2.1468353271484375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291.35394287109375</v>
      </c>
      <c r="D288">
        <v>8.1787109375E-2</v>
      </c>
      <c r="E288">
        <v>-0.169830322265625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291.61773681640625</v>
      </c>
      <c r="D289">
        <v>0.6148529052734375</v>
      </c>
      <c r="E289">
        <v>0.1465911865234375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291.4217529296875</v>
      </c>
      <c r="D290">
        <v>1.8484039306640625</v>
      </c>
      <c r="E290">
        <v>0.8475341796875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290.732421875</v>
      </c>
      <c r="D291">
        <v>3.1853485107421875</v>
      </c>
      <c r="E291">
        <v>0.533905029296875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290.0618896484375</v>
      </c>
      <c r="D292">
        <v>2.4505767822265625</v>
      </c>
      <c r="E292">
        <v>-0.45306396484375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289.5130615234375</v>
      </c>
      <c r="D293">
        <v>1.314117431640625</v>
      </c>
      <c r="E293">
        <v>-1.04803466796875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288.98284912109375</v>
      </c>
      <c r="D294">
        <v>1.036285400390625</v>
      </c>
      <c r="E294">
        <v>-2.006103515625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288.7181396484375</v>
      </c>
      <c r="D295">
        <v>-0.5211944580078125</v>
      </c>
      <c r="E295">
        <v>-2.5377655029296875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288.47314453125</v>
      </c>
      <c r="D296">
        <v>-2.1563262939453125</v>
      </c>
      <c r="E296">
        <v>-2.2967529296875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288.24188232421875</v>
      </c>
      <c r="D297">
        <v>-2.451385498046875</v>
      </c>
      <c r="E297">
        <v>-2.3694610595703125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288.1591796875</v>
      </c>
      <c r="D298">
        <v>-2.2565460205078125</v>
      </c>
      <c r="E298">
        <v>-2.52001953125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288.14166259765625</v>
      </c>
      <c r="D299">
        <v>-2.29779052734375</v>
      </c>
      <c r="E299">
        <v>-2.6215362548828125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288.06878662109375</v>
      </c>
      <c r="D300">
        <v>-1.4856719970703125</v>
      </c>
      <c r="E300">
        <v>-2.4403533935546875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287.9547119140625</v>
      </c>
      <c r="D301">
        <v>-1.492431640625</v>
      </c>
      <c r="E301">
        <v>-2.8863983154296875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287.7017822265625</v>
      </c>
      <c r="D302">
        <v>-1.9938507080078125</v>
      </c>
      <c r="E302">
        <v>-3.0103302001953125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287.23175048828125</v>
      </c>
      <c r="D303">
        <v>-2.3570098876953125</v>
      </c>
      <c r="E303">
        <v>-3.3157196044921875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286.82354736328125</v>
      </c>
      <c r="D304">
        <v>-2.3941192626953125</v>
      </c>
      <c r="E304">
        <v>-3.5367584228515625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286.49798583984375</v>
      </c>
      <c r="D305">
        <v>-2.2421722412109375</v>
      </c>
      <c r="E305">
        <v>-3.5307464599609375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285.89959716796875</v>
      </c>
      <c r="D306">
        <v>-2.1353912353515625</v>
      </c>
      <c r="E306">
        <v>-3.919769287109375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285.41656494140625</v>
      </c>
      <c r="D307">
        <v>-2.474029541015625</v>
      </c>
      <c r="E307">
        <v>-4.42236328125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286.278076171875</v>
      </c>
      <c r="D308">
        <v>-2.919891357421875</v>
      </c>
      <c r="E308">
        <v>-4.53692626953125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287.80718994140625</v>
      </c>
      <c r="D309">
        <v>-4.10711669921875</v>
      </c>
      <c r="E309">
        <v>-3.7996368408203125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288.7833251953125</v>
      </c>
      <c r="D310">
        <v>-4.16845703125</v>
      </c>
      <c r="E310">
        <v>-2.8423004150390625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289.5147705078125</v>
      </c>
      <c r="D311">
        <v>-3.907012939453125</v>
      </c>
      <c r="E311">
        <v>-1.89007568359375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289.89581298828125</v>
      </c>
      <c r="D312">
        <v>-2.75457763671875</v>
      </c>
      <c r="E312">
        <v>6.34002685546875E-2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290.22479248046875</v>
      </c>
      <c r="D313">
        <v>-2.4573974609375</v>
      </c>
      <c r="E313">
        <v>0.340850830078125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290.23046875</v>
      </c>
      <c r="D314">
        <v>-1.5487518310546875</v>
      </c>
      <c r="E314">
        <v>1.133758544921875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289.8677978515625</v>
      </c>
      <c r="D315">
        <v>-0.277130126953125</v>
      </c>
      <c r="E315">
        <v>1.22314453125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289.4100341796875</v>
      </c>
      <c r="D316">
        <v>0.27069091796875</v>
      </c>
      <c r="E316">
        <v>-0.1926727294921875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288.97637939453125</v>
      </c>
      <c r="D317">
        <v>-0.1389312744140625</v>
      </c>
      <c r="E317">
        <v>-2.383270263671875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288.62542724609375</v>
      </c>
      <c r="D318">
        <v>-0.8822021484375</v>
      </c>
      <c r="E318">
        <v>-3.8260650634765625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288.207275390625</v>
      </c>
      <c r="D319">
        <v>-1.273590087890625</v>
      </c>
      <c r="E319">
        <v>-4.64892578125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287.79779052734375</v>
      </c>
      <c r="D320">
        <v>-1.363067626953125</v>
      </c>
      <c r="E320">
        <v>-4.9584808349609375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287.4288330078125</v>
      </c>
      <c r="D321">
        <v>-1.4784088134765625</v>
      </c>
      <c r="E321">
        <v>-4.9483642578125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287.173828125</v>
      </c>
      <c r="D322">
        <v>-1.6477203369140625</v>
      </c>
      <c r="E322">
        <v>-4.8101348876953125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286.8883056640625</v>
      </c>
      <c r="D323">
        <v>-1.7127227783203125</v>
      </c>
      <c r="E323">
        <v>-4.7878570556640625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286.9345703125</v>
      </c>
      <c r="D324">
        <v>-1.2739105224609375</v>
      </c>
      <c r="E324">
        <v>-4.3193511962890625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287.00897216796875</v>
      </c>
      <c r="D325">
        <v>-1.491424560546875</v>
      </c>
      <c r="E325">
        <v>-4.2359619140625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287.07293701171875</v>
      </c>
      <c r="D326">
        <v>-1.5670166015625</v>
      </c>
      <c r="E326">
        <v>-3.984466552734375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287.145263671875</v>
      </c>
      <c r="D327">
        <v>-1.6128387451171875</v>
      </c>
      <c r="E327">
        <v>-3.7379302978515625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287.11419677734375</v>
      </c>
      <c r="D328">
        <v>-1.6880340576171875</v>
      </c>
      <c r="E328">
        <v>-3.14288330078125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286.8526611328125</v>
      </c>
      <c r="D329">
        <v>-1.6337127685546875</v>
      </c>
      <c r="E329">
        <v>-2.854034423828125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286.6142578125</v>
      </c>
      <c r="D330">
        <v>-1.428131103515625</v>
      </c>
      <c r="E330">
        <v>-2.61785888671875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286.3389892578125</v>
      </c>
      <c r="D331">
        <v>-1.158203125</v>
      </c>
      <c r="E331">
        <v>-2.25347900390625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286.54315185546875</v>
      </c>
      <c r="D332">
        <v>-1.234588623046875</v>
      </c>
      <c r="E332">
        <v>-2.275787353515625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287.97894287109375</v>
      </c>
      <c r="D333">
        <v>-1.6028594970703125</v>
      </c>
      <c r="E333">
        <v>-2.1361541748046875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289.39453125</v>
      </c>
      <c r="D334">
        <v>-1.009490966796875</v>
      </c>
      <c r="E334">
        <v>-1.3679656982421875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290.4344482421875</v>
      </c>
      <c r="D335">
        <v>-0.2798004150390625</v>
      </c>
      <c r="E335">
        <v>-1.004974365234375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290.001953125</v>
      </c>
      <c r="D336">
        <v>1.217254638671875</v>
      </c>
      <c r="E336">
        <v>0.1874542236328125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290.602294921875</v>
      </c>
      <c r="D337">
        <v>1.0575714111328125</v>
      </c>
      <c r="E337">
        <v>-0.635986328125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290.72161865234375</v>
      </c>
      <c r="D338">
        <v>1.9423065185546875</v>
      </c>
      <c r="E338">
        <v>-0.111419677734375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290.41473388671875</v>
      </c>
      <c r="D339">
        <v>3.289154052734375</v>
      </c>
      <c r="E339">
        <v>-0.412384033203125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290.27288818359375</v>
      </c>
      <c r="D340">
        <v>3.3181304931640625</v>
      </c>
      <c r="E340">
        <v>-1.6962432861328125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290.42822265625</v>
      </c>
      <c r="D341">
        <v>2.5274658203125</v>
      </c>
      <c r="E341">
        <v>-3.163330078125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290.5230712890625</v>
      </c>
      <c r="D342">
        <v>1.2636871337890625</v>
      </c>
      <c r="E342">
        <v>-4.0875396728515625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290.365234375</v>
      </c>
      <c r="D343">
        <v>-7.07244873046875E-2</v>
      </c>
      <c r="E343">
        <v>-4.266998291015625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290.10394287109375</v>
      </c>
      <c r="D344">
        <v>-1.1181182861328125</v>
      </c>
      <c r="E344">
        <v>-4.1800079345703125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289.81793212890625</v>
      </c>
      <c r="D345">
        <v>-1.6812286376953125</v>
      </c>
      <c r="E345">
        <v>-3.8502349853515625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289.52325439453125</v>
      </c>
      <c r="D346">
        <v>-1.9331207275390625</v>
      </c>
      <c r="E346">
        <v>-3.6623992919921875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289.28704833984375</v>
      </c>
      <c r="D347">
        <v>-2.098480224609375</v>
      </c>
      <c r="E347">
        <v>-3.5382537841796875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290.34539794921875</v>
      </c>
      <c r="D348">
        <v>-1.4660186767578125</v>
      </c>
      <c r="E348">
        <v>-2.841796875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290.04559326171875</v>
      </c>
      <c r="D349">
        <v>-0.973876953125</v>
      </c>
      <c r="E349">
        <v>-2.6341400146484375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289.71636962890625</v>
      </c>
      <c r="D350">
        <v>-1.1356201171875</v>
      </c>
      <c r="E350">
        <v>-2.9287109375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289.43756103515625</v>
      </c>
      <c r="D351">
        <v>-1.505950927734375</v>
      </c>
      <c r="E351">
        <v>-2.933349609375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289.317138671875</v>
      </c>
      <c r="D352">
        <v>-2.0691375732421875</v>
      </c>
      <c r="E352">
        <v>-2.731353759765625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289.25360107421875</v>
      </c>
      <c r="D353">
        <v>-1.9408416748046875</v>
      </c>
      <c r="E353">
        <v>-2.7739105224609375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289.23614501953125</v>
      </c>
      <c r="D354">
        <v>-1.654449462890625</v>
      </c>
      <c r="E354">
        <v>-2.808197021484375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289.21044921875</v>
      </c>
      <c r="D355">
        <v>-1.4571533203125</v>
      </c>
      <c r="E355">
        <v>-2.57586669921875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289.15997314453125</v>
      </c>
      <c r="D356">
        <v>-1.483245849609375</v>
      </c>
      <c r="E356">
        <v>-2.4257965087890625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290.451416015625</v>
      </c>
      <c r="D357">
        <v>-1.8585357666015625</v>
      </c>
      <c r="E357">
        <v>-1.80242919921875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291.75872802734375</v>
      </c>
      <c r="D358">
        <v>-1.8299102783203125</v>
      </c>
      <c r="E358">
        <v>-0.2298431396484375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292.41571044921875</v>
      </c>
      <c r="D359">
        <v>-1.26678466796875</v>
      </c>
      <c r="E359">
        <v>1.0366668701171875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292.53375244140625</v>
      </c>
      <c r="D360">
        <v>-0.4060821533203125</v>
      </c>
      <c r="E360">
        <v>2.0705108642578125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292.38104248046875</v>
      </c>
      <c r="D361">
        <v>0.5330810546875</v>
      </c>
      <c r="E361">
        <v>2.026336669921875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291.91705322265625</v>
      </c>
      <c r="D362">
        <v>1.226898193359375</v>
      </c>
      <c r="E362">
        <v>2.1321258544921875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291.19329833984375</v>
      </c>
      <c r="D363">
        <v>2.0164947509765625</v>
      </c>
      <c r="E363">
        <v>1.846160888671875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290.48577880859375</v>
      </c>
      <c r="D364">
        <v>1.8872833251953125</v>
      </c>
      <c r="E364">
        <v>0.2384033203125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290.0579833984375</v>
      </c>
      <c r="D365">
        <v>1.0301513671875</v>
      </c>
      <c r="E365">
        <v>-0.949310302734375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289.968505859375</v>
      </c>
      <c r="D366">
        <v>-0.106170654296875</v>
      </c>
      <c r="E366">
        <v>-1.546600341796875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289.90667724609375</v>
      </c>
      <c r="D367">
        <v>-1.0781402587890625</v>
      </c>
      <c r="E367">
        <v>-2.01666259765625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289.93804931640625</v>
      </c>
      <c r="D368">
        <v>-1.6467132568359375</v>
      </c>
      <c r="E368">
        <v>-2.2864990234375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290.10174560546875</v>
      </c>
      <c r="D369">
        <v>-1.862548828125</v>
      </c>
      <c r="E369">
        <v>-2.4582672119140625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290.1953125</v>
      </c>
      <c r="D370">
        <v>-1.7879791259765625</v>
      </c>
      <c r="E370">
        <v>-2.58453369140625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290.16046142578125</v>
      </c>
      <c r="D371">
        <v>-1.642730712890625</v>
      </c>
      <c r="E371">
        <v>-2.58184814453125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289.965576171875</v>
      </c>
      <c r="D372">
        <v>-1.1817779541015625</v>
      </c>
      <c r="E372">
        <v>-2.7289886474609375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289.6651611328125</v>
      </c>
      <c r="D373">
        <v>-1.183319091796875</v>
      </c>
      <c r="E373">
        <v>-2.755950927734375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289.29290771484375</v>
      </c>
      <c r="D374">
        <v>-1.211761474609375</v>
      </c>
      <c r="E374">
        <v>-2.55084228515625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288.94921875</v>
      </c>
      <c r="D375">
        <v>-1.484375</v>
      </c>
      <c r="E375">
        <v>-2.3360595703125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288.8370361328125</v>
      </c>
      <c r="D376">
        <v>-1.7267913818359375</v>
      </c>
      <c r="E376">
        <v>-2.176422119140625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288.76129150390625</v>
      </c>
      <c r="D377">
        <v>-1.5421600341796875</v>
      </c>
      <c r="E377">
        <v>-2.1114349365234375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288.6279296875</v>
      </c>
      <c r="D378">
        <v>-1.2481689453125</v>
      </c>
      <c r="E378">
        <v>-1.85284423828125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288.47113037109375</v>
      </c>
      <c r="D379">
        <v>-0.8200836181640625</v>
      </c>
      <c r="E379">
        <v>-1.310577392578125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288.15408325195313</v>
      </c>
      <c r="D380">
        <v>-0.4092864990234375</v>
      </c>
      <c r="E380">
        <v>-0.8307342529296875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289.338623046875</v>
      </c>
      <c r="D381">
        <v>-6.86187744140625E-2</v>
      </c>
      <c r="E381">
        <v>0.2366790771484375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290.23175048828125</v>
      </c>
      <c r="D382">
        <v>0.6793670654296875</v>
      </c>
      <c r="E382">
        <v>1.5862884521484375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290.3428955078125</v>
      </c>
      <c r="D383">
        <v>1.8186798095703125</v>
      </c>
      <c r="E383">
        <v>2.583404541015625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289.385986328125</v>
      </c>
      <c r="D384">
        <v>3.079925537109375</v>
      </c>
      <c r="E384">
        <v>2.844757080078125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288.864013671875</v>
      </c>
      <c r="D385">
        <v>3.4696502685546875</v>
      </c>
      <c r="E385">
        <v>2.333251953125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288.2066650390625</v>
      </c>
      <c r="D386">
        <v>3.4858245849609375</v>
      </c>
      <c r="E386">
        <v>1.7235565185546875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287.262451171875</v>
      </c>
      <c r="D387">
        <v>2.9575042724609375</v>
      </c>
      <c r="E387">
        <v>1.1817779541015625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286.60369873046875</v>
      </c>
      <c r="D388">
        <v>2.3169403076171875</v>
      </c>
      <c r="E388">
        <v>0.9937591552734375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286.07244873046875</v>
      </c>
      <c r="D389">
        <v>1.34857177734375</v>
      </c>
      <c r="E389">
        <v>1.2406768798828125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285.4520263671875</v>
      </c>
      <c r="D390">
        <v>0.2357025146484375</v>
      </c>
      <c r="E390">
        <v>1.39508056640625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284.93121337890625</v>
      </c>
      <c r="D391">
        <v>-0.6881561279296875</v>
      </c>
      <c r="E391">
        <v>1.426605224609375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284.54840087890625</v>
      </c>
      <c r="D392">
        <v>-1.26690673828125</v>
      </c>
      <c r="E392">
        <v>1.3087310791015625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284.2769775390625</v>
      </c>
      <c r="D393">
        <v>-1.566436767578125</v>
      </c>
      <c r="E393">
        <v>0.9846649169921875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284.04669189453125</v>
      </c>
      <c r="D394">
        <v>-1.589569091796875</v>
      </c>
      <c r="E394">
        <v>0.52392578125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283.8299560546875</v>
      </c>
      <c r="D395">
        <v>-1.5300140380859375</v>
      </c>
      <c r="E395">
        <v>0.130767822265625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283.66497802734375</v>
      </c>
      <c r="D396">
        <v>-1.4825897216796875</v>
      </c>
      <c r="E396">
        <v>0.215087890625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283.495361328125</v>
      </c>
      <c r="D397">
        <v>-1.5018463134765625</v>
      </c>
      <c r="E397">
        <v>0.32171630859375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283.32818603515625</v>
      </c>
      <c r="D398">
        <v>-1.52484130859375</v>
      </c>
      <c r="E398">
        <v>0.410797119140625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283.05914306640625</v>
      </c>
      <c r="D399">
        <v>-1.8600921630859375</v>
      </c>
      <c r="E399">
        <v>5.47943115234375E-2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282.887451171875</v>
      </c>
      <c r="D400">
        <v>-2.345947265625</v>
      </c>
      <c r="E400">
        <v>-0.121337890625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282.87469482421875</v>
      </c>
      <c r="D401">
        <v>-2.5556488037109375</v>
      </c>
      <c r="E401">
        <v>-0.126220703125</v>
      </c>
      <c r="F401">
        <v>2.86102294921875E-6</v>
      </c>
      <c r="G401">
        <f>Sayfa1!F401*1000</f>
        <v>2.86102294921875E-3</v>
      </c>
    </row>
    <row r="402" spans="2:7" x14ac:dyDescent="0.3">
      <c r="B402" s="1">
        <v>0.66666666666666663</v>
      </c>
      <c r="C402">
        <v>282.813720703125</v>
      </c>
      <c r="D402">
        <v>-2.4307861328125</v>
      </c>
      <c r="E402">
        <v>7.379150390625E-2</v>
      </c>
      <c r="F402">
        <v>2.384185791015625E-6</v>
      </c>
      <c r="G402">
        <f>Sayfa1!F402*1000</f>
        <v>2.384185791015625E-3</v>
      </c>
    </row>
    <row r="403" spans="2:7" x14ac:dyDescent="0.3">
      <c r="B403" s="1">
        <v>0.70833333333333337</v>
      </c>
      <c r="C403">
        <v>282.92108154296875</v>
      </c>
      <c r="D403">
        <v>-2.5453033447265625</v>
      </c>
      <c r="E403">
        <v>0.9731903076171875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283.91986083984375</v>
      </c>
      <c r="D404">
        <v>-1.5470733642578125</v>
      </c>
      <c r="E404">
        <v>1.399261474609375</v>
      </c>
      <c r="F404">
        <v>5.7220458984375E-6</v>
      </c>
      <c r="G404">
        <f>Sayfa1!F404*1000</f>
        <v>5.7220458984375E-3</v>
      </c>
    </row>
    <row r="405" spans="2:7" x14ac:dyDescent="0.3">
      <c r="B405" s="1">
        <v>0.79166666666666663</v>
      </c>
      <c r="C405">
        <v>284.80230712890625</v>
      </c>
      <c r="D405">
        <v>-0.5009918212890625</v>
      </c>
      <c r="E405">
        <v>1.6663055419921875</v>
      </c>
      <c r="F405">
        <v>2.384185791015625E-6</v>
      </c>
      <c r="G405">
        <f>Sayfa1!F405*1000</f>
        <v>2.384185791015625E-3</v>
      </c>
    </row>
    <row r="406" spans="2:7" x14ac:dyDescent="0.3">
      <c r="B406" s="1">
        <v>0.83333333333333337</v>
      </c>
      <c r="C406">
        <v>285.3687744140625</v>
      </c>
      <c r="D406">
        <v>0.3820037841796875</v>
      </c>
      <c r="E406">
        <v>2.0191650390625</v>
      </c>
      <c r="F406">
        <v>9.5367431640625E-7</v>
      </c>
      <c r="G406">
        <f>Sayfa1!F406*1000</f>
        <v>9.5367431640625E-4</v>
      </c>
    </row>
    <row r="407" spans="2:7" x14ac:dyDescent="0.3">
      <c r="B407" s="1">
        <v>0.875</v>
      </c>
      <c r="C407">
        <v>285.780029296875</v>
      </c>
      <c r="D407">
        <v>1.4301910400390625</v>
      </c>
      <c r="E407">
        <v>2.36328125</v>
      </c>
      <c r="F407">
        <v>4.76837158203125E-7</v>
      </c>
      <c r="G407">
        <f>Sayfa1!F407*1000</f>
        <v>4.76837158203125E-4</v>
      </c>
    </row>
    <row r="408" spans="2:7" x14ac:dyDescent="0.3">
      <c r="B408" s="1">
        <v>0.91666666666666663</v>
      </c>
      <c r="C408">
        <v>285.9676513671875</v>
      </c>
      <c r="D408">
        <v>0.8596649169921875</v>
      </c>
      <c r="E408">
        <v>1.7529296875</v>
      </c>
      <c r="F408">
        <v>4.76837158203125E-7</v>
      </c>
      <c r="G408">
        <f>Sayfa1!F408*1000</f>
        <v>4.76837158203125E-4</v>
      </c>
    </row>
    <row r="409" spans="2:7" x14ac:dyDescent="0.3">
      <c r="B409" s="1">
        <v>0.95833333333333337</v>
      </c>
      <c r="C409">
        <v>286.117431640625</v>
      </c>
      <c r="D409">
        <v>1.24786376953125</v>
      </c>
      <c r="E409">
        <v>1.700836181640625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285.9393310546875</v>
      </c>
      <c r="D410">
        <v>1.4134674072265625</v>
      </c>
      <c r="E410">
        <v>1.8640594482421875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285.307373046875</v>
      </c>
      <c r="D411">
        <v>1.7177886962890625</v>
      </c>
      <c r="E411">
        <v>1.6580810546875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284.6143798828125</v>
      </c>
      <c r="D412">
        <v>1.8748779296875</v>
      </c>
      <c r="E412">
        <v>1.155975341796875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284.17425537109375</v>
      </c>
      <c r="D413">
        <v>1.1977691650390625</v>
      </c>
      <c r="E413">
        <v>0.7239990234375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283.89154052734375</v>
      </c>
      <c r="D414">
        <v>0.408935546875</v>
      </c>
      <c r="E414">
        <v>0.3696441650390625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283.685546875</v>
      </c>
      <c r="D415">
        <v>-0.4463348388671875</v>
      </c>
      <c r="E415">
        <v>0.26666259765625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283.52789306640625</v>
      </c>
      <c r="D416">
        <v>-0.9384613037109375</v>
      </c>
      <c r="E416">
        <v>0.48370361328125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283.37884521484375</v>
      </c>
      <c r="D417">
        <v>-1.2351226806640625</v>
      </c>
      <c r="E417">
        <v>0.5362701416015625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283.22265625</v>
      </c>
      <c r="D418">
        <v>-1.50823974609375</v>
      </c>
      <c r="E418">
        <v>0.15032958984375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283.11981201171875</v>
      </c>
      <c r="D419">
        <v>-1.76898193359375</v>
      </c>
      <c r="E419">
        <v>-0.1921539306640625</v>
      </c>
      <c r="F419">
        <v>9.5367431640625E-7</v>
      </c>
      <c r="G419">
        <f>Sayfa1!F419*1000</f>
        <v>9.5367431640625E-4</v>
      </c>
    </row>
    <row r="420" spans="2:7" x14ac:dyDescent="0.3">
      <c r="B420" s="1">
        <v>0.41666666666666669</v>
      </c>
      <c r="C420">
        <v>282.94677734375</v>
      </c>
      <c r="D420">
        <v>-2.735565185546875</v>
      </c>
      <c r="E420">
        <v>-1.0531463623046875</v>
      </c>
      <c r="F420">
        <v>1.430511474609375E-6</v>
      </c>
      <c r="G420">
        <f>Sayfa1!F420*1000</f>
        <v>1.430511474609375E-3</v>
      </c>
    </row>
    <row r="421" spans="2:7" x14ac:dyDescent="0.3">
      <c r="B421" s="1">
        <v>0.45833333333333331</v>
      </c>
      <c r="C421">
        <v>283.05426025390625</v>
      </c>
      <c r="D421">
        <v>-2.78717041015625</v>
      </c>
      <c r="E421">
        <v>-0.87152099609375</v>
      </c>
      <c r="F421">
        <v>1.9073486328125E-6</v>
      </c>
      <c r="G421">
        <f>Sayfa1!F421*1000</f>
        <v>1.9073486328125E-3</v>
      </c>
    </row>
    <row r="422" spans="2:7" x14ac:dyDescent="0.3">
      <c r="B422" s="1">
        <v>0.5</v>
      </c>
      <c r="C422">
        <v>283.094482421875</v>
      </c>
      <c r="D422">
        <v>-2.9491729736328125</v>
      </c>
      <c r="E422">
        <v>-0.218170166015625</v>
      </c>
      <c r="F422">
        <v>2.384185791015625E-6</v>
      </c>
      <c r="G422">
        <f>Sayfa1!F422*1000</f>
        <v>2.384185791015625E-3</v>
      </c>
    </row>
    <row r="423" spans="2:7" x14ac:dyDescent="0.3">
      <c r="B423" s="1">
        <v>0.54166666666666663</v>
      </c>
      <c r="C423">
        <v>283.05615234375</v>
      </c>
      <c r="D423">
        <v>-2.811981201171875</v>
      </c>
      <c r="E423">
        <v>9.60693359375E-2</v>
      </c>
      <c r="F423">
        <v>3.337860107421875E-6</v>
      </c>
      <c r="G423">
        <f>Sayfa1!F423*1000</f>
        <v>3.337860107421875E-3</v>
      </c>
    </row>
    <row r="424" spans="2:7" x14ac:dyDescent="0.3">
      <c r="B424" s="1">
        <v>0.58333333333333337</v>
      </c>
      <c r="C424">
        <v>283.0032958984375</v>
      </c>
      <c r="D424">
        <v>-2.447845458984375</v>
      </c>
      <c r="E424">
        <v>0.287200927734375</v>
      </c>
      <c r="F424">
        <v>4.76837158203125E-6</v>
      </c>
      <c r="G424">
        <f>Sayfa1!F424*1000</f>
        <v>4.76837158203125E-3</v>
      </c>
    </row>
    <row r="425" spans="2:7" x14ac:dyDescent="0.3">
      <c r="B425" s="1">
        <v>0.625</v>
      </c>
      <c r="C425">
        <v>282.93206787109375</v>
      </c>
      <c r="D425">
        <v>-1.94964599609375</v>
      </c>
      <c r="E425">
        <v>0.1956939697265625</v>
      </c>
      <c r="F425">
        <v>3.814697265625E-6</v>
      </c>
      <c r="G425">
        <f>Sayfa1!F425*1000</f>
        <v>3.814697265625E-3</v>
      </c>
    </row>
    <row r="426" spans="2:7" x14ac:dyDescent="0.3">
      <c r="B426" s="1">
        <v>0.66666666666666663</v>
      </c>
      <c r="C426">
        <v>282.8621826171875</v>
      </c>
      <c r="D426">
        <v>-1.3318328857421875</v>
      </c>
      <c r="E426">
        <v>0.249176025390625</v>
      </c>
      <c r="F426">
        <v>1.9073486328125E-6</v>
      </c>
      <c r="G426">
        <f>Sayfa1!F426*1000</f>
        <v>1.9073486328125E-3</v>
      </c>
    </row>
    <row r="427" spans="2:7" x14ac:dyDescent="0.3">
      <c r="B427" s="1">
        <v>0.70833333333333337</v>
      </c>
      <c r="C427">
        <v>282.817138671875</v>
      </c>
      <c r="D427">
        <v>-0.9985198974609375</v>
      </c>
      <c r="E427">
        <v>0.4088134765625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283.54833984375</v>
      </c>
      <c r="D428">
        <v>-0.84515380859375</v>
      </c>
      <c r="E428">
        <v>0.4902191162109375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284.74462890625</v>
      </c>
      <c r="D429">
        <v>-0.3800048828125</v>
      </c>
      <c r="E429">
        <v>0.6379852294921875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286.00634765625</v>
      </c>
      <c r="D430">
        <v>0.34344482421875</v>
      </c>
      <c r="E430">
        <v>1.0133056640625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287.0389404296875</v>
      </c>
      <c r="D431">
        <v>1.1514892578125</v>
      </c>
      <c r="E431">
        <v>1.4203338623046875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286.679443359375</v>
      </c>
      <c r="D432">
        <v>1.439727783203125</v>
      </c>
      <c r="E432">
        <v>1.545257568359375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286.95361328125</v>
      </c>
      <c r="D433">
        <v>1.9428253173828125</v>
      </c>
      <c r="E433">
        <v>1.7530670166015625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286.472900390625</v>
      </c>
      <c r="D434">
        <v>2.679779052734375</v>
      </c>
      <c r="E434">
        <v>2.06591796875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285.353759765625</v>
      </c>
      <c r="D435">
        <v>3.13836669921875</v>
      </c>
      <c r="E435">
        <v>1.5852203369140625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284.3221435546875</v>
      </c>
      <c r="D436">
        <v>3.2276611328125</v>
      </c>
      <c r="E436">
        <v>0.6149444580078125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284.0208740234375</v>
      </c>
      <c r="D437">
        <v>2.3996124267578125</v>
      </c>
      <c r="E437">
        <v>-0.3355865478515625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284.32861328125</v>
      </c>
      <c r="D438">
        <v>1.2861480712890625</v>
      </c>
      <c r="E438">
        <v>-0.7426605224609375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284.545654296875</v>
      </c>
      <c r="D439">
        <v>0.84051513671875</v>
      </c>
      <c r="E439">
        <v>-0.193878173828125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284.349853515625</v>
      </c>
      <c r="D440">
        <v>0.787322998046875</v>
      </c>
      <c r="E440">
        <v>0.1215667724609375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283.9990234375</v>
      </c>
      <c r="D441">
        <v>0.9517822265625</v>
      </c>
      <c r="E441">
        <v>-0.10626220703125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283.8079833984375</v>
      </c>
      <c r="D442">
        <v>1.1380462646484375</v>
      </c>
      <c r="E442">
        <v>-0.5430755615234375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283.68896484375</v>
      </c>
      <c r="D443">
        <v>1.2836456298828125</v>
      </c>
      <c r="E443">
        <v>-0.72393798828125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283.2828369140625</v>
      </c>
      <c r="D444">
        <v>0.5564422607421875</v>
      </c>
      <c r="E444">
        <v>-0.684906005859375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283.1429443359375</v>
      </c>
      <c r="D445">
        <v>0.3070831298828125</v>
      </c>
      <c r="E445">
        <v>-0.564605712890625</v>
      </c>
      <c r="F445">
        <v>9.5367431640625E-7</v>
      </c>
      <c r="G445">
        <f>Sayfa1!F445*1000</f>
        <v>9.5367431640625E-4</v>
      </c>
    </row>
    <row r="446" spans="2:7" x14ac:dyDescent="0.3">
      <c r="B446" s="1">
        <v>0.5</v>
      </c>
      <c r="C446">
        <v>283.041748046875</v>
      </c>
      <c r="D446">
        <v>-1.6387939453125E-2</v>
      </c>
      <c r="E446">
        <v>-0.408721923828125</v>
      </c>
      <c r="F446">
        <v>4.76837158203125E-7</v>
      </c>
      <c r="G446">
        <f>Sayfa1!F446*1000</f>
        <v>4.76837158203125E-4</v>
      </c>
    </row>
    <row r="447" spans="2:7" x14ac:dyDescent="0.3">
      <c r="B447" s="1">
        <v>0.54166666666666663</v>
      </c>
      <c r="C447">
        <v>283.027099609375</v>
      </c>
      <c r="D447">
        <v>4.77752685546875E-2</v>
      </c>
      <c r="E447">
        <v>-0.3335113525390625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282.9404296875</v>
      </c>
      <c r="D448">
        <v>7.2998046875E-2</v>
      </c>
      <c r="E448">
        <v>4.1961669921875E-3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282.702392578125</v>
      </c>
      <c r="D449">
        <v>0.50262451171875</v>
      </c>
      <c r="E449">
        <v>0.45458984375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282.5819091796875</v>
      </c>
      <c r="D450">
        <v>1.2333221435546875</v>
      </c>
      <c r="E450">
        <v>0.3747711181640625</v>
      </c>
      <c r="F450">
        <v>4.76837158203125E-7</v>
      </c>
      <c r="G450">
        <f>Sayfa1!F450*1000</f>
        <v>4.76837158203125E-4</v>
      </c>
    </row>
    <row r="451" spans="2:7" x14ac:dyDescent="0.3">
      <c r="B451" s="1">
        <v>0.70833333333333337</v>
      </c>
      <c r="C451">
        <v>282.6754150390625</v>
      </c>
      <c r="D451">
        <v>1.4574127197265625</v>
      </c>
      <c r="E451">
        <v>-8.4442138671875E-2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283.3311767578125</v>
      </c>
      <c r="D452">
        <v>1.1761474609375</v>
      </c>
      <c r="E452">
        <v>-0.1909027099609375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284.41259765625</v>
      </c>
      <c r="D453">
        <v>1.48455810546875</v>
      </c>
      <c r="E453">
        <v>0.177978515625</v>
      </c>
      <c r="F453">
        <v>4.76837158203125E-7</v>
      </c>
      <c r="G453">
        <f>Sayfa1!F453*1000</f>
        <v>4.76837158203125E-4</v>
      </c>
    </row>
    <row r="454" spans="2:7" x14ac:dyDescent="0.3">
      <c r="B454" s="1">
        <v>0.83333333333333337</v>
      </c>
      <c r="C454">
        <v>285.381591796875</v>
      </c>
      <c r="D454">
        <v>2.2762603759765625</v>
      </c>
      <c r="E454">
        <v>0.750396728515625</v>
      </c>
      <c r="F454">
        <v>4.76837158203125E-7</v>
      </c>
      <c r="G454">
        <f>Sayfa1!F454*1000</f>
        <v>4.76837158203125E-4</v>
      </c>
    </row>
    <row r="455" spans="2:7" x14ac:dyDescent="0.3">
      <c r="B455" s="1">
        <v>0.875</v>
      </c>
      <c r="C455">
        <v>286.113525390625</v>
      </c>
      <c r="D455">
        <v>3.2647857666015625</v>
      </c>
      <c r="E455">
        <v>1.366455078125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285.398681640625</v>
      </c>
      <c r="D456">
        <v>2.388702392578125</v>
      </c>
      <c r="E456">
        <v>0.8198699951171875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285.518310546875</v>
      </c>
      <c r="D457">
        <v>2.901580810546875</v>
      </c>
      <c r="E457">
        <v>0.5518035888671875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285.3095703125</v>
      </c>
      <c r="D458">
        <v>2.992218017578125</v>
      </c>
      <c r="E458">
        <v>1.443206787109375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284.5374755859375</v>
      </c>
      <c r="D459">
        <v>3.360992431640625</v>
      </c>
      <c r="E459">
        <v>0.8907470703125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283.70458984375</v>
      </c>
      <c r="D460">
        <v>3.3144378662109375</v>
      </c>
      <c r="E460">
        <v>0.492523193359375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283.2218017578125</v>
      </c>
      <c r="D461">
        <v>3.006195068359375</v>
      </c>
      <c r="E461">
        <v>-1.32598876953125E-2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283.0533447265625</v>
      </c>
      <c r="D462">
        <v>2.30743408203125</v>
      </c>
      <c r="E462">
        <v>-0.3625946044921875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283.053466796875</v>
      </c>
      <c r="D463">
        <v>1.68902587890625</v>
      </c>
      <c r="E463">
        <v>-0.16290283203125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283.025634765625</v>
      </c>
      <c r="D464">
        <v>1.2347259521484375</v>
      </c>
      <c r="E464">
        <v>0.1285247802734375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283.0045166015625</v>
      </c>
      <c r="D465">
        <v>0.6712646484375</v>
      </c>
      <c r="E465">
        <v>0.149993896484375</v>
      </c>
      <c r="F465">
        <v>1.9073486328125E-6</v>
      </c>
      <c r="G465">
        <f>Sayfa1!F465*1000</f>
        <v>1.9073486328125E-3</v>
      </c>
    </row>
    <row r="466" spans="2:7" x14ac:dyDescent="0.3">
      <c r="B466" s="1">
        <v>0.33333333333333331</v>
      </c>
      <c r="C466">
        <v>282.959228515625</v>
      </c>
      <c r="D466">
        <v>7.22198486328125E-2</v>
      </c>
      <c r="E466">
        <v>-0.118927001953125</v>
      </c>
      <c r="F466">
        <v>4.291534423828125E-6</v>
      </c>
      <c r="G466">
        <f>Sayfa1!F466*1000</f>
        <v>4.291534423828125E-3</v>
      </c>
    </row>
    <row r="467" spans="2:7" x14ac:dyDescent="0.3">
      <c r="B467" s="1">
        <v>0.375</v>
      </c>
      <c r="C467">
        <v>282.8900146484375</v>
      </c>
      <c r="D467">
        <v>-0.2840576171875</v>
      </c>
      <c r="E467">
        <v>-0.517303466796875</v>
      </c>
      <c r="F467">
        <v>1.9073486328125E-6</v>
      </c>
      <c r="G467">
        <f>Sayfa1!F467*1000</f>
        <v>1.9073486328125E-3</v>
      </c>
    </row>
    <row r="468" spans="2:7" x14ac:dyDescent="0.3">
      <c r="B468" s="1">
        <v>0.41666666666666669</v>
      </c>
      <c r="C468">
        <v>282.91583251953125</v>
      </c>
      <c r="D468">
        <v>-1.80316162109375</v>
      </c>
      <c r="E468">
        <v>-1.385711669921875</v>
      </c>
      <c r="F468">
        <v>2.86102294921875E-6</v>
      </c>
      <c r="G468">
        <f>Sayfa1!F468*1000</f>
        <v>2.86102294921875E-3</v>
      </c>
    </row>
    <row r="469" spans="2:7" x14ac:dyDescent="0.3">
      <c r="B469" s="1">
        <v>0.45833333333333331</v>
      </c>
      <c r="C469">
        <v>283.32977294921875</v>
      </c>
      <c r="D469">
        <v>-1.8224334716796875</v>
      </c>
      <c r="E469">
        <v>-1.5083160400390625</v>
      </c>
      <c r="F469">
        <v>2.86102294921875E-6</v>
      </c>
      <c r="G469">
        <f>Sayfa1!F469*1000</f>
        <v>2.86102294921875E-3</v>
      </c>
    </row>
    <row r="470" spans="2:7" x14ac:dyDescent="0.3">
      <c r="B470" s="1">
        <v>0.5</v>
      </c>
      <c r="C470">
        <v>283.70697021484375</v>
      </c>
      <c r="D470">
        <v>-1.7563018798828125</v>
      </c>
      <c r="E470">
        <v>-0.9011077880859375</v>
      </c>
      <c r="F470">
        <v>1.430511474609375E-6</v>
      </c>
      <c r="G470">
        <f>Sayfa1!F470*1000</f>
        <v>1.430511474609375E-3</v>
      </c>
    </row>
    <row r="471" spans="2:7" x14ac:dyDescent="0.3">
      <c r="B471" s="1">
        <v>0.54166666666666663</v>
      </c>
      <c r="C471">
        <v>283.9786376953125</v>
      </c>
      <c r="D471">
        <v>-1.584686279296875</v>
      </c>
      <c r="E471">
        <v>-0.6386260986328125</v>
      </c>
      <c r="F471">
        <v>4.76837158203125E-7</v>
      </c>
      <c r="G471">
        <f>Sayfa1!F471*1000</f>
        <v>4.76837158203125E-4</v>
      </c>
    </row>
    <row r="472" spans="2:7" x14ac:dyDescent="0.3">
      <c r="B472" s="1">
        <v>0.58333333333333337</v>
      </c>
      <c r="C472">
        <v>284.2130126953125</v>
      </c>
      <c r="D472">
        <v>-1.234649658203125</v>
      </c>
      <c r="E472">
        <v>-1.2155303955078125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284.5953369140625</v>
      </c>
      <c r="D473">
        <v>-0.9362945556640625</v>
      </c>
      <c r="E473">
        <v>-1.5674896240234375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284.94287109375</v>
      </c>
      <c r="D474">
        <v>-0.3205108642578125</v>
      </c>
      <c r="E474">
        <v>-1.2270660400390625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285.3455810546875</v>
      </c>
      <c r="D475">
        <v>0.2324371337890625</v>
      </c>
      <c r="E475">
        <v>-1.3407440185546875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286.2703857421875</v>
      </c>
      <c r="D476">
        <v>-0.20440673828125</v>
      </c>
      <c r="E476">
        <v>-1.6743011474609375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288.54351806640625</v>
      </c>
      <c r="D477">
        <v>-1.211700439453125</v>
      </c>
      <c r="E477">
        <v>-1.9192352294921875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289.97222900390625</v>
      </c>
      <c r="D478">
        <v>-1.9454345703125</v>
      </c>
      <c r="E478">
        <v>-2.014373779296875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290.94622802734375</v>
      </c>
      <c r="D479">
        <v>-2.746246337890625</v>
      </c>
      <c r="E479">
        <v>-2.019073486328125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291.43084716796875</v>
      </c>
      <c r="D480">
        <v>-3.5306243896484375</v>
      </c>
      <c r="E480">
        <v>-2.411346435546875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291.79461669921875</v>
      </c>
      <c r="D481">
        <v>-3.761566162109375</v>
      </c>
      <c r="E481">
        <v>-2.19366455078125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291.81109619140625</v>
      </c>
      <c r="D482">
        <v>-3.27923583984375</v>
      </c>
      <c r="E482">
        <v>-1.9552764892578125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291.55413818359375</v>
      </c>
      <c r="D483">
        <v>-2.321258544921875</v>
      </c>
      <c r="E483">
        <v>-1.6867523193359375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291.0889892578125</v>
      </c>
      <c r="D484">
        <v>-1.46490478515625</v>
      </c>
      <c r="E484">
        <v>-1.9697723388671875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290.42529296875</v>
      </c>
      <c r="D485">
        <v>-0.818450927734375</v>
      </c>
      <c r="E485">
        <v>-2.4463043212890625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289.7288818359375</v>
      </c>
      <c r="D486">
        <v>-0.43255615234375</v>
      </c>
      <c r="E486">
        <v>-3.3839874267578125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288.9903564453125</v>
      </c>
      <c r="D487">
        <v>-0.5060577392578125</v>
      </c>
      <c r="E487">
        <v>-4.49615478515625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288.1011962890625</v>
      </c>
      <c r="D488">
        <v>-0.8761749267578125</v>
      </c>
      <c r="E488">
        <v>-5.060577392578125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287.1103515625</v>
      </c>
      <c r="D489">
        <v>-1.2540283203125</v>
      </c>
      <c r="E489">
        <v>-5.3962249755859375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286.4603271484375</v>
      </c>
      <c r="D490">
        <v>-1.9657135009765625</v>
      </c>
      <c r="E490">
        <v>-5.4956817626953125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286.100830078125</v>
      </c>
      <c r="D491">
        <v>-2.6384429931640625</v>
      </c>
      <c r="E491">
        <v>-5.2594757080078125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285.6785888671875</v>
      </c>
      <c r="D492">
        <v>-2.810150146484375</v>
      </c>
      <c r="E492">
        <v>-4.565185546875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285.27264404296875</v>
      </c>
      <c r="D493">
        <v>-3.319366455078125</v>
      </c>
      <c r="E493">
        <v>-3.7762298583984375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284.848876953125</v>
      </c>
      <c r="D494">
        <v>-2.5803985595703125</v>
      </c>
      <c r="E494">
        <v>-3.277496337890625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284.5369873046875</v>
      </c>
      <c r="D495">
        <v>-2.0879669189453125</v>
      </c>
      <c r="E495">
        <v>-3.5280914306640625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284.3677978515625</v>
      </c>
      <c r="D496">
        <v>-2.4739837646484375</v>
      </c>
      <c r="E496">
        <v>-3.7512359619140625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284.207763671875</v>
      </c>
      <c r="D497">
        <v>-2.6375732421875</v>
      </c>
      <c r="E497">
        <v>-3.6551055908203125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284.3106689453125</v>
      </c>
      <c r="D498">
        <v>-1.9516448974609375</v>
      </c>
      <c r="E498">
        <v>-3.19549560546875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285.0865478515625</v>
      </c>
      <c r="D499">
        <v>-0.798858642578125</v>
      </c>
      <c r="E499">
        <v>-3.115478515625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286.5924072265625</v>
      </c>
      <c r="D500">
        <v>-0.247100830078125</v>
      </c>
      <c r="E500">
        <v>-3.649200439453125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288.34112548828125</v>
      </c>
      <c r="D501">
        <v>-0.741180419921875</v>
      </c>
      <c r="E501">
        <v>-4.3558349609375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290.04608154296875</v>
      </c>
      <c r="D502">
        <v>-1.075531005859375</v>
      </c>
      <c r="E502">
        <v>-4.171539306640625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291.39111328125</v>
      </c>
      <c r="D503">
        <v>-0.698089599609375</v>
      </c>
      <c r="E503">
        <v>-3.672393798828125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291.93017578125</v>
      </c>
      <c r="D504">
        <v>9.7503662109375E-3</v>
      </c>
      <c r="E504">
        <v>-4.2746124267578125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292.74462890625</v>
      </c>
      <c r="D505">
        <v>-0.410888671875</v>
      </c>
      <c r="E505">
        <v>-5.0020294189453125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293.091796875</v>
      </c>
      <c r="D506">
        <v>0.128143310546875</v>
      </c>
      <c r="E506">
        <v>-4.3663787841796875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292.6978759765625</v>
      </c>
      <c r="D507">
        <v>1.8597259521484375</v>
      </c>
      <c r="E507">
        <v>-4.1142730712890625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292.0867919921875</v>
      </c>
      <c r="D508">
        <v>1.218505859375</v>
      </c>
      <c r="E508">
        <v>-4.7874603271484375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291.5750732421875</v>
      </c>
      <c r="D509">
        <v>-0.402618408203125</v>
      </c>
      <c r="E509">
        <v>-4.777984619140625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291.21484375</v>
      </c>
      <c r="D510">
        <v>-1.0797119140625</v>
      </c>
      <c r="E510">
        <v>-4.2366485595703125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291.0916748046875</v>
      </c>
      <c r="D511">
        <v>-1.136627197265625</v>
      </c>
      <c r="E511">
        <v>-4.0003509521484375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291.1024169921875</v>
      </c>
      <c r="D512">
        <v>-1.3754119873046875</v>
      </c>
      <c r="E512">
        <v>-3.851898193359375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291.155029296875</v>
      </c>
      <c r="D513">
        <v>-1.5787200927734375</v>
      </c>
      <c r="E513">
        <v>-3.7452239990234375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291.20452880859375</v>
      </c>
      <c r="D514">
        <v>-1.8845062255859375</v>
      </c>
      <c r="E514">
        <v>-3.708251953125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291.15618896484375</v>
      </c>
      <c r="D515">
        <v>-2.021820068359375</v>
      </c>
      <c r="E515">
        <v>-3.6318817138671875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291.468017578125</v>
      </c>
      <c r="D516">
        <v>-2.2048187255859375</v>
      </c>
      <c r="E516">
        <v>-3.0985260009765625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291.482177734375</v>
      </c>
      <c r="D517">
        <v>-1.8357086181640625</v>
      </c>
      <c r="E517">
        <v>-3.4252777099609375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291.6837158203125</v>
      </c>
      <c r="D518">
        <v>-1.6983184814453125</v>
      </c>
      <c r="E518">
        <v>-3.5010986328125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291.7540283203125</v>
      </c>
      <c r="D519">
        <v>-1.564849853515625</v>
      </c>
      <c r="E519">
        <v>-3.4181671142578125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291.6776123046875</v>
      </c>
      <c r="D520">
        <v>-1.28424072265625</v>
      </c>
      <c r="E520">
        <v>-3.4537811279296875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291.4814453125</v>
      </c>
      <c r="D521">
        <v>-1.00579833984375</v>
      </c>
      <c r="E521">
        <v>-3.489501953125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291.34332275390625</v>
      </c>
      <c r="D522">
        <v>-0.804534912109375</v>
      </c>
      <c r="E522">
        <v>-3.4492645263671875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291.4833984375</v>
      </c>
      <c r="D523">
        <v>-0.60516357421875</v>
      </c>
      <c r="E523">
        <v>-3.570770263671875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291.75067138671875</v>
      </c>
      <c r="D524">
        <v>-0.399169921875</v>
      </c>
      <c r="E524">
        <v>-3.8139801025390625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292.955810546875</v>
      </c>
      <c r="D525">
        <v>-0.43585205078125</v>
      </c>
      <c r="E525">
        <v>-3.9089508056640625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295.06805419921875</v>
      </c>
      <c r="D526">
        <v>-0.923095703125</v>
      </c>
      <c r="E526">
        <v>-4.062042236328125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296.5816650390625</v>
      </c>
      <c r="D527">
        <v>-1.197113037109375</v>
      </c>
      <c r="E527">
        <v>-3.858367919921875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297.5213623046875</v>
      </c>
      <c r="D528">
        <v>-0.132049560546875</v>
      </c>
      <c r="E528">
        <v>-2.389801025390625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297.919189453125</v>
      </c>
      <c r="D529">
        <v>0.202789306640625</v>
      </c>
      <c r="E529">
        <v>-2.445526123046875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298.126708984375</v>
      </c>
      <c r="D530">
        <v>0.136749267578125</v>
      </c>
      <c r="E530">
        <v>-2.7811431884765625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298.0029296875</v>
      </c>
      <c r="D531">
        <v>0.4296112060546875</v>
      </c>
      <c r="E531">
        <v>-3.074920654296875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297.5970458984375</v>
      </c>
      <c r="D532">
        <v>0.1849517822265625</v>
      </c>
      <c r="E532">
        <v>-3.7726898193359375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297.0787353515625</v>
      </c>
      <c r="D533">
        <v>-0.7873992919921875</v>
      </c>
      <c r="E533">
        <v>-4.580657958984375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296.72686767578125</v>
      </c>
      <c r="D534">
        <v>-1.5418548583984375</v>
      </c>
      <c r="E534">
        <v>-4.541168212890625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296.54840087890625</v>
      </c>
      <c r="D535">
        <v>-2.044830322265625</v>
      </c>
      <c r="E535">
        <v>-4.14874267578125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296.3402099609375</v>
      </c>
      <c r="D536">
        <v>-2.2999267578125</v>
      </c>
      <c r="E536">
        <v>-3.844818115234375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296.10443115234375</v>
      </c>
      <c r="D537">
        <v>-2.389862060546875</v>
      </c>
      <c r="E537">
        <v>-3.7820892333984375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295.80914306640625</v>
      </c>
      <c r="D538">
        <v>-2.5858154296875</v>
      </c>
      <c r="E538">
        <v>-4.093841552734375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295.456787109375</v>
      </c>
      <c r="D539">
        <v>-2.54571533203125</v>
      </c>
      <c r="E539">
        <v>-4.1910552978515625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295.48004150390625</v>
      </c>
      <c r="D540">
        <v>-1.2624969482421875</v>
      </c>
      <c r="E540">
        <v>-3.6009368896484375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294.86688232421875</v>
      </c>
      <c r="D541">
        <v>-0.6853790283203125</v>
      </c>
      <c r="E541">
        <v>-4.1575775146484375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294.4412841796875</v>
      </c>
      <c r="D542">
        <v>-1.15234375</v>
      </c>
      <c r="E542">
        <v>-3.9752655029296875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294.330810546875</v>
      </c>
      <c r="D543">
        <v>-1.2932586669921875</v>
      </c>
      <c r="E543">
        <v>-3.563812255859375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294.2056884765625</v>
      </c>
      <c r="D544">
        <v>-0.9608917236328125</v>
      </c>
      <c r="E544">
        <v>-3.3849639892578125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293.9365234375</v>
      </c>
      <c r="D545">
        <v>-1.0420989990234375</v>
      </c>
      <c r="E545">
        <v>-3.6934814453125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293.5030517578125</v>
      </c>
      <c r="D546">
        <v>-1.0587158203125</v>
      </c>
      <c r="E546">
        <v>-3.781463623046875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293.0538330078125</v>
      </c>
      <c r="D547">
        <v>-0.877716064453125</v>
      </c>
      <c r="E547">
        <v>-3.5019683837890625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293.06134033203125</v>
      </c>
      <c r="D548">
        <v>-1.0691070556640625</v>
      </c>
      <c r="E548">
        <v>-3.6038055419921875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294.130859375</v>
      </c>
      <c r="D549">
        <v>-1.542236328125</v>
      </c>
      <c r="E549">
        <v>-3.8349151611328125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295.548583984375</v>
      </c>
      <c r="D550">
        <v>-1.4836883544921875</v>
      </c>
      <c r="E550">
        <v>-2.7656097412109375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296.429931640625</v>
      </c>
      <c r="D551">
        <v>-1.2556915283203125</v>
      </c>
      <c r="E551">
        <v>-1.94378662109375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296.881103515625</v>
      </c>
      <c r="D552">
        <v>0.4665679931640625</v>
      </c>
      <c r="E552">
        <v>-1.5021209716796875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297.064697265625</v>
      </c>
      <c r="D553">
        <v>0.143707275390625</v>
      </c>
      <c r="E553">
        <v>-2.2521820068359375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297.076904296875</v>
      </c>
      <c r="D554">
        <v>-0.1652374267578125</v>
      </c>
      <c r="E554">
        <v>-2.1713104248046875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296.549072265625</v>
      </c>
      <c r="D555">
        <v>-0.636993408203125</v>
      </c>
      <c r="E555">
        <v>-3.57464599609375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295.5142822265625</v>
      </c>
      <c r="D556">
        <v>-1.5860595703125</v>
      </c>
      <c r="E556">
        <v>-4.8433990478515625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294.531005859375</v>
      </c>
      <c r="D557">
        <v>-2.56280517578125</v>
      </c>
      <c r="E557">
        <v>-5.1349029541015625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293.8486328125</v>
      </c>
      <c r="D558">
        <v>-3.1304473876953125</v>
      </c>
      <c r="E558">
        <v>-4.543701171875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293.2728271484375</v>
      </c>
      <c r="D559">
        <v>-3.1142425537109375</v>
      </c>
      <c r="E559">
        <v>-3.81927490234375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292.83154296875</v>
      </c>
      <c r="D560">
        <v>-2.875518798828125</v>
      </c>
      <c r="E560">
        <v>-3.2879638671875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292.432861328125</v>
      </c>
      <c r="D561">
        <v>-2.5770416259765625</v>
      </c>
      <c r="E561">
        <v>-3.2845916748046875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292.0771484375</v>
      </c>
      <c r="D562">
        <v>-2.1462554931640625</v>
      </c>
      <c r="E562">
        <v>-3.501739501953125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291.697265625</v>
      </c>
      <c r="D563">
        <v>-1.75006103515625</v>
      </c>
      <c r="E563">
        <v>-3.64422607421875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290.359130859375</v>
      </c>
      <c r="D564">
        <v>-1.64501953125</v>
      </c>
      <c r="E564">
        <v>-3.7494354248046875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290.09228515625</v>
      </c>
      <c r="D565">
        <v>-1.735626220703125</v>
      </c>
      <c r="E565">
        <v>-3.988555908203125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289.9564208984375</v>
      </c>
      <c r="D566">
        <v>-1.8957672119140625</v>
      </c>
      <c r="E566">
        <v>-3.6835784912109375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289.7431640625</v>
      </c>
      <c r="D567">
        <v>-1.7010040283203125</v>
      </c>
      <c r="E567">
        <v>-3.1748046875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289.5565185546875</v>
      </c>
      <c r="D568">
        <v>-1.4412994384765625</v>
      </c>
      <c r="E568">
        <v>-2.8487091064453125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289.34326171875</v>
      </c>
      <c r="D569">
        <v>-1.260772705078125</v>
      </c>
      <c r="E569">
        <v>-2.7152099609375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289.1417236328125</v>
      </c>
      <c r="D570">
        <v>-1.354034423828125</v>
      </c>
      <c r="E570">
        <v>-2.425689697265625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289.027099609375</v>
      </c>
      <c r="D571">
        <v>-1.4515533447265625</v>
      </c>
      <c r="E571">
        <v>-2.0166473388671875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288.85888671875</v>
      </c>
      <c r="D572">
        <v>-1.420074462890625</v>
      </c>
      <c r="E572">
        <v>-1.592681884765625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290.9818115234375</v>
      </c>
      <c r="D573">
        <v>-1.4323577880859375</v>
      </c>
      <c r="E573">
        <v>-0.6661224365234375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292.481689453125</v>
      </c>
      <c r="D574">
        <v>-0.7391357421875</v>
      </c>
      <c r="E574">
        <v>0.647705078125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293.27569580078125</v>
      </c>
      <c r="D575">
        <v>0.4923095703125</v>
      </c>
      <c r="E575">
        <v>1.34796142578125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293.0318603515625</v>
      </c>
      <c r="D576">
        <v>1.2499542236328125</v>
      </c>
      <c r="E576">
        <v>1.54669189453125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292.934326171875</v>
      </c>
      <c r="D577">
        <v>1.9361114501953125</v>
      </c>
      <c r="E577">
        <v>2.2425994873046875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292.001220703125</v>
      </c>
      <c r="D578">
        <v>2.61541748046875</v>
      </c>
      <c r="E578">
        <v>2.35101318359375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290.412353515625</v>
      </c>
      <c r="D579">
        <v>2.6491851806640625</v>
      </c>
      <c r="E579">
        <v>1.4363861083984375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289.367431640625</v>
      </c>
      <c r="D580">
        <v>2.58941650390625</v>
      </c>
      <c r="E580">
        <v>0.4613800048828125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288.9674072265625</v>
      </c>
      <c r="D581">
        <v>1.869873046875</v>
      </c>
      <c r="E581">
        <v>-0.34112548828125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288.790771484375</v>
      </c>
      <c r="D582">
        <v>0.9459991455078125</v>
      </c>
      <c r="E582">
        <v>-0.3719635009765625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288.3519287109375</v>
      </c>
      <c r="D583">
        <v>0.594024658203125</v>
      </c>
      <c r="E583">
        <v>0.3270111083984375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287.54541015625</v>
      </c>
      <c r="D584">
        <v>3.7078857421875E-2</v>
      </c>
      <c r="E584">
        <v>0.7629241943359375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286.72705078125</v>
      </c>
      <c r="D585">
        <v>-0.7877044677734375</v>
      </c>
      <c r="E585">
        <v>0.9201507568359375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286.0233154296875</v>
      </c>
      <c r="D586">
        <v>-1.6374053955078125</v>
      </c>
      <c r="E586">
        <v>0.7775421142578125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285.44873046875</v>
      </c>
      <c r="D587">
        <v>-2.517852783203125</v>
      </c>
      <c r="E587">
        <v>0.62994384765625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285.1971435546875</v>
      </c>
      <c r="D588">
        <v>-2.76922607421875</v>
      </c>
      <c r="E588">
        <v>0.1670074462890625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284.9281005859375</v>
      </c>
      <c r="D589">
        <v>-2.9165496826171875</v>
      </c>
      <c r="E589">
        <v>6.1553955078125E-2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284.81036376953125</v>
      </c>
      <c r="D590">
        <v>-2.846832275390625</v>
      </c>
      <c r="E590">
        <v>1.776123046875E-2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284.737548828125</v>
      </c>
      <c r="D591">
        <v>-2.686859130859375</v>
      </c>
      <c r="E591">
        <v>0.2227783203125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284.60162353515625</v>
      </c>
      <c r="D592">
        <v>-2.714691162109375</v>
      </c>
      <c r="E592">
        <v>0.26446533203125</v>
      </c>
      <c r="F592">
        <v>4.76837158203125E-7</v>
      </c>
      <c r="G592">
        <f>Sayfa1!F592*1000</f>
        <v>4.76837158203125E-4</v>
      </c>
    </row>
    <row r="593" spans="2:7" x14ac:dyDescent="0.3">
      <c r="B593" s="1">
        <v>0.625</v>
      </c>
      <c r="C593">
        <v>284.472900390625</v>
      </c>
      <c r="D593">
        <v>-3.119537353515625</v>
      </c>
      <c r="E593">
        <v>0.2918548583984375</v>
      </c>
      <c r="F593">
        <v>4.76837158203125E-7</v>
      </c>
      <c r="G593">
        <f>Sayfa1!F593*1000</f>
        <v>4.76837158203125E-4</v>
      </c>
    </row>
    <row r="594" spans="2:7" x14ac:dyDescent="0.3">
      <c r="B594" s="1">
        <v>0.66666666666666663</v>
      </c>
      <c r="C594">
        <v>284.38421630859375</v>
      </c>
      <c r="D594">
        <v>-3.1859893798828125</v>
      </c>
      <c r="E594">
        <v>0.3084716796875</v>
      </c>
      <c r="F594">
        <v>1.9073486328125E-6</v>
      </c>
      <c r="G594">
        <f>Sayfa1!F594*1000</f>
        <v>1.9073486328125E-3</v>
      </c>
    </row>
    <row r="595" spans="2:7" x14ac:dyDescent="0.3">
      <c r="B595" s="1">
        <v>0.70833333333333337</v>
      </c>
      <c r="C595">
        <v>284.77593994140625</v>
      </c>
      <c r="D595">
        <v>-3.2051239013671875</v>
      </c>
      <c r="E595">
        <v>0.73681640625</v>
      </c>
      <c r="F595">
        <v>1.9073486328125E-6</v>
      </c>
      <c r="G595">
        <f>Sayfa1!F595*1000</f>
        <v>1.9073486328125E-3</v>
      </c>
    </row>
    <row r="596" spans="2:7" x14ac:dyDescent="0.3">
      <c r="B596" s="1">
        <v>0.75</v>
      </c>
      <c r="C596">
        <v>285.86077880859375</v>
      </c>
      <c r="D596">
        <v>-3.435791015625</v>
      </c>
      <c r="E596">
        <v>3.1922607421875</v>
      </c>
      <c r="F596">
        <v>3.814697265625E-6</v>
      </c>
      <c r="G596">
        <f>Sayfa1!F596*1000</f>
        <v>3.814697265625E-3</v>
      </c>
    </row>
    <row r="597" spans="2:7" x14ac:dyDescent="0.3">
      <c r="B597" s="1">
        <v>0.79166666666666663</v>
      </c>
      <c r="C597">
        <v>286.51959228515625</v>
      </c>
      <c r="D597">
        <v>-2.5036773681640625</v>
      </c>
      <c r="E597">
        <v>4.097808837890625</v>
      </c>
      <c r="F597">
        <v>2.574920654296875E-5</v>
      </c>
      <c r="G597">
        <f>Sayfa1!F597*1000</f>
        <v>2.574920654296875E-2</v>
      </c>
    </row>
    <row r="598" spans="2:7" x14ac:dyDescent="0.3">
      <c r="B598" s="1">
        <v>0.83333333333333337</v>
      </c>
      <c r="C598">
        <v>286.80169677734375</v>
      </c>
      <c r="D598">
        <v>-1.530303955078125</v>
      </c>
      <c r="E598">
        <v>4.4667205810546875</v>
      </c>
      <c r="F598">
        <v>1.9073486328125E-5</v>
      </c>
      <c r="G598">
        <f>Sayfa1!F598*1000</f>
        <v>1.9073486328125E-2</v>
      </c>
    </row>
    <row r="599" spans="2:7" x14ac:dyDescent="0.3">
      <c r="B599" s="1">
        <v>0.875</v>
      </c>
      <c r="C599">
        <v>286.6268310546875</v>
      </c>
      <c r="D599">
        <v>-0.61663818359375</v>
      </c>
      <c r="E599">
        <v>4.70111083984375</v>
      </c>
      <c r="F599">
        <v>5.245208740234375E-6</v>
      </c>
      <c r="G599">
        <f>Sayfa1!F599*1000</f>
        <v>5.245208740234375E-3</v>
      </c>
    </row>
    <row r="600" spans="2:7" x14ac:dyDescent="0.3">
      <c r="B600" s="1">
        <v>0.91666666666666663</v>
      </c>
      <c r="C600">
        <v>286.10955810546875</v>
      </c>
      <c r="D600">
        <v>-3.28826904296875E-2</v>
      </c>
      <c r="E600">
        <v>4.30767822265625</v>
      </c>
      <c r="F600">
        <v>1.33514404296875E-5</v>
      </c>
      <c r="G600">
        <f>Sayfa1!F600*1000</f>
        <v>1.33514404296875E-2</v>
      </c>
    </row>
    <row r="601" spans="2:7" x14ac:dyDescent="0.3">
      <c r="B601" s="1">
        <v>0.95833333333333337</v>
      </c>
      <c r="C601">
        <v>285.9459228515625</v>
      </c>
      <c r="D601">
        <v>0.9432525634765625</v>
      </c>
      <c r="E601">
        <v>4.232391357421875</v>
      </c>
      <c r="F601">
        <v>9.5367431640625E-6</v>
      </c>
      <c r="G601">
        <f>Sayfa1!F601*1000</f>
        <v>9.5367431640625E-3</v>
      </c>
    </row>
    <row r="602" spans="2:7" x14ac:dyDescent="0.3">
      <c r="B602" s="1">
        <v>0</v>
      </c>
      <c r="C602">
        <v>285.58084106445313</v>
      </c>
      <c r="D602">
        <v>0.778472900390625</v>
      </c>
      <c r="E602">
        <v>4.0134735107421875</v>
      </c>
      <c r="F602">
        <v>2.47955322265625E-5</v>
      </c>
      <c r="G602">
        <f>Sayfa1!F602*1000</f>
        <v>2.47955322265625E-2</v>
      </c>
    </row>
    <row r="603" spans="2:7" x14ac:dyDescent="0.3">
      <c r="B603" s="1">
        <v>4.1666666666666664E-2</v>
      </c>
      <c r="C603">
        <v>285.099609375</v>
      </c>
      <c r="D603">
        <v>-4.47235107421875E-2</v>
      </c>
      <c r="E603">
        <v>3.49981689453125</v>
      </c>
      <c r="F603">
        <v>4.8160552978515625E-5</v>
      </c>
      <c r="G603">
        <f>Sayfa1!F603*1000</f>
        <v>4.8160552978515625E-2</v>
      </c>
    </row>
    <row r="604" spans="2:7" x14ac:dyDescent="0.3">
      <c r="B604" s="1">
        <v>8.3333333333333329E-2</v>
      </c>
      <c r="C604">
        <v>284.726318359375</v>
      </c>
      <c r="D604">
        <v>-0.9307708740234375</v>
      </c>
      <c r="E604">
        <v>3.042694091796875</v>
      </c>
      <c r="F604">
        <v>4.5299530029296875E-5</v>
      </c>
      <c r="G604">
        <f>Sayfa1!F604*1000</f>
        <v>4.5299530029296875E-2</v>
      </c>
    </row>
    <row r="605" spans="2:7" x14ac:dyDescent="0.3">
      <c r="B605" s="1">
        <v>0.125</v>
      </c>
      <c r="C605">
        <v>284.353515625</v>
      </c>
      <c r="D605">
        <v>-1.0888824462890625</v>
      </c>
      <c r="E605">
        <v>3.4744720458984375</v>
      </c>
      <c r="F605">
        <v>1.0347366333007813E-4</v>
      </c>
      <c r="G605">
        <f>Sayfa1!F605*1000</f>
        <v>0.10347366333007813</v>
      </c>
    </row>
    <row r="606" spans="2:7" x14ac:dyDescent="0.3">
      <c r="B606" s="1">
        <v>0.16666666666666666</v>
      </c>
      <c r="C606">
        <v>284.30169677734375</v>
      </c>
      <c r="D606">
        <v>-0.2603759765625</v>
      </c>
      <c r="E606">
        <v>3.863555908203125</v>
      </c>
      <c r="F606">
        <v>2.1028518676757813E-4</v>
      </c>
      <c r="G606">
        <f>Sayfa1!F606*1000</f>
        <v>0.21028518676757813</v>
      </c>
    </row>
    <row r="607" spans="2:7" x14ac:dyDescent="0.3">
      <c r="B607" s="1">
        <v>0.20833333333333334</v>
      </c>
      <c r="C607">
        <v>284.07254028320313</v>
      </c>
      <c r="D607">
        <v>0.97265625</v>
      </c>
      <c r="E607">
        <v>3.3333892822265625</v>
      </c>
      <c r="F607">
        <v>3.1614303588867188E-4</v>
      </c>
      <c r="G607">
        <f>Sayfa1!F607*1000</f>
        <v>0.31614303588867188</v>
      </c>
    </row>
    <row r="608" spans="2:7" x14ac:dyDescent="0.3">
      <c r="B608" s="1">
        <v>0.25</v>
      </c>
      <c r="C608">
        <v>283.906982421875</v>
      </c>
      <c r="D608">
        <v>1.38494873046875</v>
      </c>
      <c r="E608">
        <v>2.445220947265625</v>
      </c>
      <c r="F608">
        <v>2.899169921875E-4</v>
      </c>
      <c r="G608">
        <f>Sayfa1!F608*1000</f>
        <v>0.2899169921875</v>
      </c>
    </row>
    <row r="609" spans="2:7" x14ac:dyDescent="0.3">
      <c r="B609" s="1">
        <v>0.29166666666666669</v>
      </c>
      <c r="C609">
        <v>283.4501953125</v>
      </c>
      <c r="D609">
        <v>2.0489501953125</v>
      </c>
      <c r="E609">
        <v>1.8719482421875</v>
      </c>
      <c r="F609">
        <v>2.9993057250976563E-4</v>
      </c>
      <c r="G609">
        <f>Sayfa1!F609*1000</f>
        <v>0.29993057250976563</v>
      </c>
    </row>
    <row r="610" spans="2:7" x14ac:dyDescent="0.3">
      <c r="B610" s="1">
        <v>0.33333333333333331</v>
      </c>
      <c r="C610">
        <v>283.1861572265625</v>
      </c>
      <c r="D610">
        <v>2.0354156494140625</v>
      </c>
      <c r="E610">
        <v>1.291107177734375</v>
      </c>
      <c r="F610">
        <v>1.8405914306640625E-4</v>
      </c>
      <c r="G610">
        <f>Sayfa1!F610*1000</f>
        <v>0.18405914306640625</v>
      </c>
    </row>
    <row r="611" spans="2:7" x14ac:dyDescent="0.3">
      <c r="B611" s="1">
        <v>0.375</v>
      </c>
      <c r="C611">
        <v>283.1788330078125</v>
      </c>
      <c r="D611">
        <v>1.425933837890625</v>
      </c>
      <c r="E611">
        <v>0.8353118896484375</v>
      </c>
      <c r="F611">
        <v>2.1314620971679688E-4</v>
      </c>
      <c r="G611">
        <f>Sayfa1!F611*1000</f>
        <v>0.21314620971679688</v>
      </c>
    </row>
    <row r="612" spans="2:7" x14ac:dyDescent="0.3">
      <c r="B612" s="1">
        <v>0.41666666666666669</v>
      </c>
      <c r="C612">
        <v>284.0391845703125</v>
      </c>
      <c r="D612">
        <v>0.5773162841796875</v>
      </c>
      <c r="E612">
        <v>-0.1655426025390625</v>
      </c>
      <c r="F612">
        <v>3.0374526977539063E-4</v>
      </c>
      <c r="G612">
        <f>Sayfa1!F612*1000</f>
        <v>0.30374526977539063</v>
      </c>
    </row>
    <row r="613" spans="2:7" x14ac:dyDescent="0.3">
      <c r="B613" s="1">
        <v>0.45833333333333331</v>
      </c>
      <c r="C613">
        <v>284.07159423828125</v>
      </c>
      <c r="D613">
        <v>-0.176055908203125</v>
      </c>
      <c r="E613">
        <v>-8.66241455078125E-2</v>
      </c>
      <c r="F613">
        <v>7.82012939453125E-5</v>
      </c>
      <c r="G613">
        <f>Sayfa1!F613*1000</f>
        <v>7.82012939453125E-2</v>
      </c>
    </row>
    <row r="614" spans="2:7" x14ac:dyDescent="0.3">
      <c r="B614" s="1">
        <v>0.5</v>
      </c>
      <c r="C614">
        <v>283.75823974609375</v>
      </c>
      <c r="D614">
        <v>-1.0684814453125</v>
      </c>
      <c r="E614">
        <v>0.2481842041015625</v>
      </c>
      <c r="F614">
        <v>3.0183792114257813E-4</v>
      </c>
      <c r="G614">
        <f>Sayfa1!F614*1000</f>
        <v>0.30183792114257813</v>
      </c>
    </row>
    <row r="615" spans="2:7" x14ac:dyDescent="0.3">
      <c r="B615" s="1">
        <v>0.54166666666666663</v>
      </c>
      <c r="C615">
        <v>283.390625</v>
      </c>
      <c r="D615">
        <v>-2.03826904296875</v>
      </c>
      <c r="E615">
        <v>0.2431182861328125</v>
      </c>
      <c r="F615">
        <v>1.0061264038085938E-4</v>
      </c>
      <c r="G615">
        <f>Sayfa1!F615*1000</f>
        <v>0.10061264038085938</v>
      </c>
    </row>
    <row r="616" spans="2:7" x14ac:dyDescent="0.3">
      <c r="B616" s="1">
        <v>0.58333333333333337</v>
      </c>
      <c r="C616">
        <v>283.19415283203125</v>
      </c>
      <c r="D616">
        <v>-2.662628173828125</v>
      </c>
      <c r="E616">
        <v>0.350433349609375</v>
      </c>
      <c r="F616">
        <v>1.1730194091796875E-4</v>
      </c>
      <c r="G616">
        <f>Sayfa1!F616*1000</f>
        <v>0.11730194091796875</v>
      </c>
    </row>
    <row r="617" spans="2:7" x14ac:dyDescent="0.3">
      <c r="B617" s="1">
        <v>0.625</v>
      </c>
      <c r="C617">
        <v>282.60858154296875</v>
      </c>
      <c r="D617">
        <v>-3.216583251953125</v>
      </c>
      <c r="E617">
        <v>0.7015228271484375</v>
      </c>
      <c r="F617">
        <v>2.63214111328125E-4</v>
      </c>
      <c r="G617">
        <f>Sayfa1!F617*1000</f>
        <v>0.263214111328125</v>
      </c>
    </row>
    <row r="618" spans="2:7" x14ac:dyDescent="0.3">
      <c r="B618" s="1">
        <v>0.66666666666666663</v>
      </c>
      <c r="C618">
        <v>282.374755859375</v>
      </c>
      <c r="D618">
        <v>-3.2911834716796875</v>
      </c>
      <c r="E618">
        <v>1.2219390869140625</v>
      </c>
      <c r="F618">
        <v>5.2356719970703125E-4</v>
      </c>
      <c r="G618">
        <f>Sayfa1!F618*1000</f>
        <v>0.52356719970703125</v>
      </c>
    </row>
    <row r="619" spans="2:7" x14ac:dyDescent="0.3">
      <c r="B619" s="1">
        <v>0.70833333333333337</v>
      </c>
      <c r="C619">
        <v>282.49224853515625</v>
      </c>
      <c r="D619">
        <v>-3.20660400390625</v>
      </c>
      <c r="E619">
        <v>1.72991943359375</v>
      </c>
      <c r="F619">
        <v>2.7942657470703125E-4</v>
      </c>
      <c r="G619">
        <f>Sayfa1!F619*1000</f>
        <v>0.27942657470703125</v>
      </c>
    </row>
    <row r="620" spans="2:7" x14ac:dyDescent="0.3">
      <c r="B620" s="1">
        <v>0.75</v>
      </c>
      <c r="C620">
        <v>282.97378540039063</v>
      </c>
      <c r="D620">
        <v>-3.1969757080078125</v>
      </c>
      <c r="E620">
        <v>2.286712646484375</v>
      </c>
      <c r="F620">
        <v>5.07354736328125E-4</v>
      </c>
      <c r="G620">
        <f>Sayfa1!F620*1000</f>
        <v>0.507354736328125</v>
      </c>
    </row>
    <row r="621" spans="2:7" x14ac:dyDescent="0.3">
      <c r="B621" s="1">
        <v>0.79166666666666663</v>
      </c>
      <c r="C621">
        <v>283.2537841796875</v>
      </c>
      <c r="D621">
        <v>-3.038299560546875</v>
      </c>
      <c r="E621">
        <v>2.6172332763671875</v>
      </c>
      <c r="F621">
        <v>1.5106201171875E-3</v>
      </c>
      <c r="G621">
        <f>Sayfa1!F621*1000</f>
        <v>1.5106201171875</v>
      </c>
    </row>
    <row r="622" spans="2:7" x14ac:dyDescent="0.3">
      <c r="B622" s="1">
        <v>0.83333333333333337</v>
      </c>
      <c r="C622">
        <v>283.99917602539063</v>
      </c>
      <c r="D622">
        <v>-2.9617919921875</v>
      </c>
      <c r="E622">
        <v>3.10308837890625</v>
      </c>
      <c r="F622">
        <v>6.0367584228515625E-4</v>
      </c>
      <c r="G622">
        <f>Sayfa1!F622*1000</f>
        <v>0.60367584228515625</v>
      </c>
    </row>
    <row r="623" spans="2:7" x14ac:dyDescent="0.3">
      <c r="B623" s="1">
        <v>0.875</v>
      </c>
      <c r="C623">
        <v>283.607177734375</v>
      </c>
      <c r="D623">
        <v>-1.9859161376953125</v>
      </c>
      <c r="E623">
        <v>3.681304931640625</v>
      </c>
      <c r="F623">
        <v>8.7404251098632813E-4</v>
      </c>
      <c r="G623">
        <f>Sayfa1!F623*1000</f>
        <v>0.87404251098632813</v>
      </c>
    </row>
    <row r="624" spans="2:7" x14ac:dyDescent="0.3">
      <c r="B624" s="1">
        <v>0.91666666666666663</v>
      </c>
      <c r="C624">
        <v>283.22903442382813</v>
      </c>
      <c r="D624">
        <v>-1.097747802734375</v>
      </c>
      <c r="E624">
        <v>2.5641326904296875</v>
      </c>
      <c r="F624">
        <v>1.6465187072753906E-3</v>
      </c>
      <c r="G624">
        <f>Sayfa1!F624*1000</f>
        <v>1.6465187072753906</v>
      </c>
    </row>
    <row r="625" spans="2:7" x14ac:dyDescent="0.3">
      <c r="B625" s="1">
        <v>0.95833333333333337</v>
      </c>
      <c r="C625">
        <v>283.27774047851563</v>
      </c>
      <c r="D625">
        <v>-1.9887542724609375</v>
      </c>
      <c r="E625">
        <v>2.64898681640625</v>
      </c>
      <c r="F625">
        <v>9.3841552734375E-4</v>
      </c>
      <c r="G625">
        <f>Sayfa1!F625*1000</f>
        <v>0.93841552734375</v>
      </c>
    </row>
    <row r="626" spans="2:7" x14ac:dyDescent="0.3">
      <c r="B626" s="1">
        <v>0</v>
      </c>
      <c r="C626">
        <v>283.44940185546875</v>
      </c>
      <c r="D626">
        <v>-2.62396240234375</v>
      </c>
      <c r="E626">
        <v>1.9323272705078125</v>
      </c>
      <c r="F626">
        <v>6.29425048828125E-4</v>
      </c>
      <c r="G626">
        <f>Sayfa1!F626*1000</f>
        <v>0.629425048828125</v>
      </c>
    </row>
    <row r="627" spans="2:7" x14ac:dyDescent="0.3">
      <c r="B627" s="1">
        <v>4.1666666666666664E-2</v>
      </c>
      <c r="C627">
        <v>283.3660888671875</v>
      </c>
      <c r="D627">
        <v>-2.5897674560546875</v>
      </c>
      <c r="E627">
        <v>1.7260589599609375</v>
      </c>
      <c r="F627">
        <v>2.384185791015625E-4</v>
      </c>
      <c r="G627">
        <f>Sayfa1!F627*1000</f>
        <v>0.2384185791015625</v>
      </c>
    </row>
    <row r="628" spans="2:7" x14ac:dyDescent="0.3">
      <c r="B628" s="1">
        <v>8.3333333333333329E-2</v>
      </c>
      <c r="C628">
        <v>283.29034423828125</v>
      </c>
      <c r="D628">
        <v>-2.104156494140625</v>
      </c>
      <c r="E628">
        <v>1.8170928955078125</v>
      </c>
      <c r="F628">
        <v>2.93731689453125E-4</v>
      </c>
      <c r="G628">
        <f>Sayfa1!F628*1000</f>
        <v>0.293731689453125</v>
      </c>
    </row>
    <row r="629" spans="2:7" x14ac:dyDescent="0.3">
      <c r="B629" s="1">
        <v>0.125</v>
      </c>
      <c r="C629">
        <v>282.9881591796875</v>
      </c>
      <c r="D629">
        <v>-2.1346435546875</v>
      </c>
      <c r="E629">
        <v>1.517730712890625</v>
      </c>
      <c r="F629">
        <v>8.3637237548828125E-4</v>
      </c>
      <c r="G629">
        <f>Sayfa1!F629*1000</f>
        <v>0.83637237548828125</v>
      </c>
    </row>
    <row r="630" spans="2:7" x14ac:dyDescent="0.3">
      <c r="B630" s="1">
        <v>0.16666666666666666</v>
      </c>
      <c r="C630">
        <v>282.74169921875</v>
      </c>
      <c r="D630">
        <v>-2.45751953125</v>
      </c>
      <c r="E630">
        <v>0.8863067626953125</v>
      </c>
      <c r="F630">
        <v>7.66754150390625E-4</v>
      </c>
      <c r="G630">
        <f>Sayfa1!F630*1000</f>
        <v>0.766754150390625</v>
      </c>
    </row>
    <row r="631" spans="2:7" x14ac:dyDescent="0.3">
      <c r="B631" s="1">
        <v>0.20833333333333334</v>
      </c>
      <c r="C631">
        <v>282.5128173828125</v>
      </c>
      <c r="D631">
        <v>-2.6023101806640625</v>
      </c>
      <c r="E631">
        <v>0.269805908203125</v>
      </c>
      <c r="F631">
        <v>5.1069259643554688E-4</v>
      </c>
      <c r="G631">
        <f>Sayfa1!F631*1000</f>
        <v>0.51069259643554688</v>
      </c>
    </row>
    <row r="632" spans="2:7" x14ac:dyDescent="0.3">
      <c r="B632" s="1">
        <v>0.25</v>
      </c>
      <c r="C632">
        <v>282.26373291015625</v>
      </c>
      <c r="D632">
        <v>-3.1230926513671875</v>
      </c>
      <c r="E632">
        <v>-1.0819091796875</v>
      </c>
      <c r="F632">
        <v>1.0538101196289063E-4</v>
      </c>
      <c r="G632">
        <f>Sayfa1!F632*1000</f>
        <v>0.10538101196289063</v>
      </c>
    </row>
    <row r="633" spans="2:7" x14ac:dyDescent="0.3">
      <c r="B633" s="1">
        <v>0.29166666666666669</v>
      </c>
      <c r="C633">
        <v>281.72918701171875</v>
      </c>
      <c r="D633">
        <v>-3.0232391357421875</v>
      </c>
      <c r="E633">
        <v>-2.2170257568359375</v>
      </c>
      <c r="F633">
        <v>9.2267990112304688E-4</v>
      </c>
      <c r="G633">
        <f>Sayfa1!F633*1000</f>
        <v>0.92267990112304688</v>
      </c>
    </row>
    <row r="634" spans="2:7" x14ac:dyDescent="0.3">
      <c r="B634" s="1">
        <v>0.33333333333333331</v>
      </c>
      <c r="C634">
        <v>281.303466796875</v>
      </c>
      <c r="D634">
        <v>-2.4614715576171875</v>
      </c>
      <c r="E634">
        <v>-2.5938262939453125</v>
      </c>
      <c r="F634">
        <v>4.3582916259765625E-4</v>
      </c>
      <c r="G634">
        <f>Sayfa1!F634*1000</f>
        <v>0.43582916259765625</v>
      </c>
    </row>
    <row r="635" spans="2:7" x14ac:dyDescent="0.3">
      <c r="B635" s="1">
        <v>0.375</v>
      </c>
      <c r="C635">
        <v>281.15545654296875</v>
      </c>
      <c r="D635">
        <v>-2.1539459228515625</v>
      </c>
      <c r="E635">
        <v>-2.3463287353515625</v>
      </c>
      <c r="F635">
        <v>9.059906005859375E-5</v>
      </c>
      <c r="G635">
        <f>Sayfa1!F635*1000</f>
        <v>9.059906005859375E-2</v>
      </c>
    </row>
    <row r="636" spans="2:7" x14ac:dyDescent="0.3">
      <c r="B636" s="1">
        <v>0.41666666666666669</v>
      </c>
      <c r="C636">
        <v>281.81497192382813</v>
      </c>
      <c r="D636">
        <v>-2.5367279052734375</v>
      </c>
      <c r="E636">
        <v>-2.295501708984375</v>
      </c>
      <c r="F636">
        <v>3.337860107421875E-5</v>
      </c>
      <c r="G636">
        <f>Sayfa1!F636*1000</f>
        <v>3.337860107421875E-2</v>
      </c>
    </row>
    <row r="637" spans="2:7" x14ac:dyDescent="0.3">
      <c r="B637" s="1">
        <v>0.45833333333333331</v>
      </c>
      <c r="C637">
        <v>281.80978393554688</v>
      </c>
      <c r="D637">
        <v>-3.019683837890625</v>
      </c>
      <c r="E637">
        <v>-1.7649078369140625</v>
      </c>
      <c r="F637">
        <v>1.5735626220703125E-5</v>
      </c>
      <c r="G637">
        <f>Sayfa1!F637*1000</f>
        <v>1.5735626220703125E-2</v>
      </c>
    </row>
    <row r="638" spans="2:7" x14ac:dyDescent="0.3">
      <c r="B638" s="1">
        <v>0.5</v>
      </c>
      <c r="C638">
        <v>281.90298461914063</v>
      </c>
      <c r="D638">
        <v>-2.484893798828125</v>
      </c>
      <c r="E638">
        <v>-1.8334197998046875</v>
      </c>
      <c r="F638">
        <v>7.62939453125E-6</v>
      </c>
      <c r="G638">
        <f>Sayfa1!F638*1000</f>
        <v>7.62939453125E-3</v>
      </c>
    </row>
    <row r="639" spans="2:7" x14ac:dyDescent="0.3">
      <c r="B639" s="1">
        <v>0.54166666666666663</v>
      </c>
      <c r="C639">
        <v>282.005126953125</v>
      </c>
      <c r="D639">
        <v>-2.0727386474609375</v>
      </c>
      <c r="E639">
        <v>-1.9411773681640625</v>
      </c>
      <c r="F639">
        <v>5.7220458984375E-6</v>
      </c>
      <c r="G639">
        <f>Sayfa1!F639*1000</f>
        <v>5.7220458984375E-3</v>
      </c>
    </row>
    <row r="640" spans="2:7" x14ac:dyDescent="0.3">
      <c r="B640" s="1">
        <v>0.58333333333333337</v>
      </c>
      <c r="C640">
        <v>282.03192138671875</v>
      </c>
      <c r="D640">
        <v>-1.79876708984375</v>
      </c>
      <c r="E640">
        <v>-2.03997802734375</v>
      </c>
      <c r="F640">
        <v>7.62939453125E-6</v>
      </c>
      <c r="G640">
        <f>Sayfa1!F640*1000</f>
        <v>7.62939453125E-3</v>
      </c>
    </row>
    <row r="641" spans="2:7" x14ac:dyDescent="0.3">
      <c r="B641" s="1">
        <v>0.625</v>
      </c>
      <c r="C641">
        <v>282.01101684570313</v>
      </c>
      <c r="D641">
        <v>-1.68328857421875</v>
      </c>
      <c r="E641">
        <v>-1.932769775390625</v>
      </c>
      <c r="F641">
        <v>9.059906005859375E-6</v>
      </c>
      <c r="G641">
        <f>Sayfa1!F641*1000</f>
        <v>9.059906005859375E-3</v>
      </c>
    </row>
    <row r="642" spans="2:7" x14ac:dyDescent="0.3">
      <c r="B642" s="1">
        <v>0.66666666666666663</v>
      </c>
      <c r="C642">
        <v>281.979248046875</v>
      </c>
      <c r="D642">
        <v>-1.434844970703125</v>
      </c>
      <c r="E642">
        <v>-1.5858001708984375</v>
      </c>
      <c r="F642">
        <v>1.9073486328125E-6</v>
      </c>
      <c r="G642">
        <f>Sayfa1!F642*1000</f>
        <v>1.9073486328125E-3</v>
      </c>
    </row>
    <row r="643" spans="2:7" x14ac:dyDescent="0.3">
      <c r="B643" s="1">
        <v>0.70833333333333337</v>
      </c>
      <c r="C643">
        <v>281.9404296875</v>
      </c>
      <c r="D643">
        <v>-1.415924072265625</v>
      </c>
      <c r="E643">
        <v>-1.3456573486328125</v>
      </c>
      <c r="F643">
        <v>0</v>
      </c>
      <c r="G643">
        <f>Sayfa1!F643*1000</f>
        <v>0</v>
      </c>
    </row>
    <row r="644" spans="2:7" x14ac:dyDescent="0.3">
      <c r="B644" s="1">
        <v>0.75</v>
      </c>
      <c r="C644">
        <v>282.57284545898438</v>
      </c>
      <c r="D644">
        <v>-1.3857574462890625</v>
      </c>
      <c r="E644">
        <v>-0.8820037841796875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283.56491088867188</v>
      </c>
      <c r="D645">
        <v>-1.2384796142578125</v>
      </c>
      <c r="E645">
        <v>-0.511322021484375</v>
      </c>
      <c r="F645">
        <v>3.814697265625E-6</v>
      </c>
      <c r="G645">
        <f>Sayfa1!F645*1000</f>
        <v>3.814697265625E-3</v>
      </c>
    </row>
    <row r="646" spans="2:7" x14ac:dyDescent="0.3">
      <c r="B646" s="1">
        <v>0.83333333333333337</v>
      </c>
      <c r="C646">
        <v>284.640380859375</v>
      </c>
      <c r="D646">
        <v>-1.1865234375</v>
      </c>
      <c r="E646">
        <v>-0.781463623046875</v>
      </c>
      <c r="F646">
        <v>1.1444091796875E-5</v>
      </c>
      <c r="G646">
        <f>Sayfa1!F646*1000</f>
        <v>1.1444091796875E-2</v>
      </c>
    </row>
    <row r="647" spans="2:7" x14ac:dyDescent="0.3">
      <c r="B647" s="1">
        <v>0.875</v>
      </c>
      <c r="C647">
        <v>285.26092529296875</v>
      </c>
      <c r="D647">
        <v>-4.5166015625E-2</v>
      </c>
      <c r="E647">
        <v>-0.133392333984375</v>
      </c>
      <c r="F647">
        <v>3.337860107421875E-6</v>
      </c>
      <c r="G647">
        <f>Sayfa1!F647*1000</f>
        <v>3.337860107421875E-3</v>
      </c>
    </row>
    <row r="648" spans="2:7" x14ac:dyDescent="0.3">
      <c r="B648" s="1">
        <v>0.91666666666666663</v>
      </c>
      <c r="C648">
        <v>285.60040283203125</v>
      </c>
      <c r="D648">
        <v>1.39874267578125</v>
      </c>
      <c r="E648">
        <v>0.9155731201171875</v>
      </c>
      <c r="F648">
        <v>1.430511474609375E-6</v>
      </c>
      <c r="G648">
        <f>Sayfa1!F648*1000</f>
        <v>1.430511474609375E-3</v>
      </c>
    </row>
    <row r="649" spans="2:7" x14ac:dyDescent="0.3">
      <c r="B649" s="1">
        <v>0.95833333333333337</v>
      </c>
      <c r="C649">
        <v>285.84808349609375</v>
      </c>
      <c r="D649">
        <v>2.0406646728515625</v>
      </c>
      <c r="E649">
        <v>1.0954437255859375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285.79745483398438</v>
      </c>
      <c r="D650">
        <v>2.3394927978515625</v>
      </c>
      <c r="E650">
        <v>1.47540283203125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285.264892578125</v>
      </c>
      <c r="D651">
        <v>2.9290618896484375</v>
      </c>
      <c r="E651">
        <v>2.24810791015625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284.7830810546875</v>
      </c>
      <c r="D652">
        <v>3.18914794921875</v>
      </c>
      <c r="E652">
        <v>1.4229736328125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284.66961669921875</v>
      </c>
      <c r="D653">
        <v>2.7301788330078125</v>
      </c>
      <c r="E653">
        <v>0.35888671875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284.65176391601563</v>
      </c>
      <c r="D654">
        <v>2.11627197265625</v>
      </c>
      <c r="E654">
        <v>-0.4250335693359375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284.67922973632813</v>
      </c>
      <c r="D655">
        <v>1.2015533447265625</v>
      </c>
      <c r="E655">
        <v>-1.045135498046875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284.67929077148438</v>
      </c>
      <c r="D656">
        <v>0.3817291259765625</v>
      </c>
      <c r="E656">
        <v>-1.21636962890625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284.59396362304688</v>
      </c>
      <c r="D657">
        <v>3.41033935546875E-2</v>
      </c>
      <c r="E657">
        <v>-1.1658935546875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284.4654541015625</v>
      </c>
      <c r="D658">
        <v>-0.371917724609375</v>
      </c>
      <c r="E658">
        <v>-1.0050506591796875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284.3079833984375</v>
      </c>
      <c r="D659">
        <v>-0.7643890380859375</v>
      </c>
      <c r="E659">
        <v>-0.7446746826171875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283.586669921875</v>
      </c>
      <c r="D660">
        <v>-1.95233154296875</v>
      </c>
      <c r="E660">
        <v>-0.6173248291015625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283.42181396484375</v>
      </c>
      <c r="D661">
        <v>-2.3649749755859375</v>
      </c>
      <c r="E661">
        <v>-1.90289306640625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283.4830322265625</v>
      </c>
      <c r="D662">
        <v>-2.1803741455078125</v>
      </c>
      <c r="E662">
        <v>-2.0531005859375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283.40301513671875</v>
      </c>
      <c r="D663">
        <v>-2.618377685546875</v>
      </c>
      <c r="E663">
        <v>-1.653350830078125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283.35003662109375</v>
      </c>
      <c r="D664">
        <v>-2.8001556396484375</v>
      </c>
      <c r="E664">
        <v>-1.1305084228515625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283.14251708984375</v>
      </c>
      <c r="D665">
        <v>-2.037750244140625</v>
      </c>
      <c r="E665">
        <v>-0.93359375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282.78240966796875</v>
      </c>
      <c r="D666">
        <v>-1.0345306396484375</v>
      </c>
      <c r="E666">
        <v>-0.826324462890625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282.472900390625</v>
      </c>
      <c r="D667">
        <v>-0.4817352294921875</v>
      </c>
      <c r="E667">
        <v>-0.551055908203125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283.57080078125</v>
      </c>
      <c r="D668">
        <v>-0.341766357421875</v>
      </c>
      <c r="E668">
        <v>0.4279022216796875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284.6746826171875</v>
      </c>
      <c r="D669">
        <v>0.5963592529296875</v>
      </c>
      <c r="E669">
        <v>1.49755859375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285.372802734375</v>
      </c>
      <c r="D670">
        <v>1.4072113037109375</v>
      </c>
      <c r="E670">
        <v>2.1501617431640625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285.65679931640625</v>
      </c>
      <c r="D671">
        <v>2.3031463623046875</v>
      </c>
      <c r="E671">
        <v>2.45556640625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285.8529052734375</v>
      </c>
      <c r="D672">
        <v>1.6824798583984375</v>
      </c>
      <c r="E672">
        <v>2.740814208984375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285.70062255859375</v>
      </c>
      <c r="D673">
        <v>1.938873291015625</v>
      </c>
      <c r="E673">
        <v>2.48455810546875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285.4775390625</v>
      </c>
      <c r="D674">
        <v>1.428314208984375</v>
      </c>
      <c r="E674">
        <v>2.22198486328125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285.01190185546875</v>
      </c>
      <c r="D675">
        <v>1.0436553955078125</v>
      </c>
      <c r="E675">
        <v>1.9439544677734375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284.59918212890625</v>
      </c>
      <c r="D676">
        <v>1.219146728515625</v>
      </c>
      <c r="E676">
        <v>1.5213775634765625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284.3309326171875</v>
      </c>
      <c r="D677">
        <v>0.626220703125</v>
      </c>
      <c r="E677">
        <v>0.9341583251953125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284.114501953125</v>
      </c>
      <c r="D678">
        <v>-0.3672637939453125</v>
      </c>
      <c r="E678">
        <v>0.7134857177734375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283.9427490234375</v>
      </c>
      <c r="D679">
        <v>-1.266143798828125</v>
      </c>
      <c r="E679">
        <v>0.4738616943359375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283.7410888671875</v>
      </c>
      <c r="D680">
        <v>-1.9937286376953125</v>
      </c>
      <c r="E680">
        <v>0.371978759765625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283.59442138671875</v>
      </c>
      <c r="D681">
        <v>-2.27703857421875</v>
      </c>
      <c r="E681">
        <v>0.2258758544921875</v>
      </c>
      <c r="F681">
        <v>3.337860107421875E-6</v>
      </c>
      <c r="G681">
        <f>Sayfa1!F681*1000</f>
        <v>3.337860107421875E-3</v>
      </c>
    </row>
    <row r="682" spans="2:7" x14ac:dyDescent="0.3">
      <c r="B682" s="1">
        <v>0.33333333333333331</v>
      </c>
      <c r="C682">
        <v>283.46316528320313</v>
      </c>
      <c r="D682">
        <v>-2.4683685302734375</v>
      </c>
      <c r="E682">
        <v>-5.908203125E-2</v>
      </c>
      <c r="F682">
        <v>8.106231689453125E-6</v>
      </c>
      <c r="G682">
        <f>Sayfa1!F682*1000</f>
        <v>8.106231689453125E-3</v>
      </c>
    </row>
    <row r="683" spans="2:7" x14ac:dyDescent="0.3">
      <c r="B683" s="1">
        <v>0.375</v>
      </c>
      <c r="C683">
        <v>283.39126586914063</v>
      </c>
      <c r="D683">
        <v>-2.439208984375</v>
      </c>
      <c r="E683">
        <v>-0.3124237060546875</v>
      </c>
      <c r="F683">
        <v>5.7220458984375E-6</v>
      </c>
      <c r="G683">
        <f>Sayfa1!F683*1000</f>
        <v>5.7220458984375E-3</v>
      </c>
    </row>
    <row r="684" spans="2:7" x14ac:dyDescent="0.3">
      <c r="B684" s="1">
        <v>0.41666666666666669</v>
      </c>
      <c r="C684">
        <v>282.93643188476563</v>
      </c>
      <c r="D684">
        <v>-2.820068359375</v>
      </c>
      <c r="E684">
        <v>-1.0126495361328125</v>
      </c>
      <c r="F684">
        <v>9.5367431640625E-7</v>
      </c>
      <c r="G684">
        <f>Sayfa1!F684*1000</f>
        <v>9.5367431640625E-4</v>
      </c>
    </row>
    <row r="685" spans="2:7" x14ac:dyDescent="0.3">
      <c r="B685" s="1">
        <v>0.45833333333333331</v>
      </c>
      <c r="C685">
        <v>283.04299926757813</v>
      </c>
      <c r="D685">
        <v>-2.7028656005859375</v>
      </c>
      <c r="E685">
        <v>-1.3367462158203125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283.0828857421875</v>
      </c>
      <c r="D686">
        <v>-2.49169921875</v>
      </c>
      <c r="E686">
        <v>-0.8209686279296875</v>
      </c>
      <c r="F686">
        <v>9.5367431640625E-7</v>
      </c>
      <c r="G686">
        <f>Sayfa1!F686*1000</f>
        <v>9.5367431640625E-4</v>
      </c>
    </row>
    <row r="687" spans="2:7" x14ac:dyDescent="0.3">
      <c r="B687" s="1">
        <v>0.54166666666666663</v>
      </c>
      <c r="C687">
        <v>283.00173950195313</v>
      </c>
      <c r="D687">
        <v>-2.3701629638671875</v>
      </c>
      <c r="E687">
        <v>-0.4140777587890625</v>
      </c>
      <c r="F687">
        <v>2.384185791015625E-6</v>
      </c>
      <c r="G687">
        <f>Sayfa1!F687*1000</f>
        <v>2.384185791015625E-3</v>
      </c>
    </row>
    <row r="688" spans="2:7" x14ac:dyDescent="0.3">
      <c r="B688" s="1">
        <v>0.58333333333333337</v>
      </c>
      <c r="C688">
        <v>282.93429565429688</v>
      </c>
      <c r="D688">
        <v>-2.1409759521484375</v>
      </c>
      <c r="E688">
        <v>-0.70404052734375</v>
      </c>
      <c r="F688">
        <v>9.5367431640625E-7</v>
      </c>
      <c r="G688">
        <f>Sayfa1!F688*1000</f>
        <v>9.5367431640625E-4</v>
      </c>
    </row>
    <row r="689" spans="2:7" x14ac:dyDescent="0.3">
      <c r="B689" s="1">
        <v>0.625</v>
      </c>
      <c r="C689">
        <v>282.93072509765625</v>
      </c>
      <c r="D689">
        <v>-1.7466278076171875</v>
      </c>
      <c r="E689">
        <v>-0.69976806640625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282.8538818359375</v>
      </c>
      <c r="D690">
        <v>-0.95458984375</v>
      </c>
      <c r="E690">
        <v>-0.4297027587890625</v>
      </c>
      <c r="F690">
        <v>5.245208740234375E-6</v>
      </c>
      <c r="G690">
        <f>Sayfa1!F690*1000</f>
        <v>5.245208740234375E-3</v>
      </c>
    </row>
    <row r="691" spans="2:7" x14ac:dyDescent="0.3">
      <c r="B691" s="1">
        <v>0.70833333333333337</v>
      </c>
      <c r="C691">
        <v>282.79263305664063</v>
      </c>
      <c r="D691">
        <v>-0.234832763671875</v>
      </c>
      <c r="E691">
        <v>-0.4772796630859375</v>
      </c>
      <c r="F691">
        <v>2.765655517578125E-5</v>
      </c>
      <c r="G691">
        <f>Sayfa1!F691*1000</f>
        <v>2.765655517578125E-2</v>
      </c>
    </row>
    <row r="692" spans="2:7" x14ac:dyDescent="0.3">
      <c r="B692" s="1">
        <v>0.75</v>
      </c>
      <c r="C692">
        <v>283.59637451171875</v>
      </c>
      <c r="D692">
        <v>0.34332275390625</v>
      </c>
      <c r="E692">
        <v>-6.9580078125E-2</v>
      </c>
      <c r="F692">
        <v>0</v>
      </c>
      <c r="G692">
        <f>Sayfa1!F692*1000</f>
        <v>0</v>
      </c>
    </row>
    <row r="693" spans="2:7" x14ac:dyDescent="0.3">
      <c r="B693" s="1">
        <v>0.79166666666666663</v>
      </c>
      <c r="C693">
        <v>284.56036376953125</v>
      </c>
      <c r="D693">
        <v>0.7159881591796875</v>
      </c>
      <c r="E693">
        <v>0.18670654296875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285.25177001953125</v>
      </c>
      <c r="D694">
        <v>1.2607879638671875</v>
      </c>
      <c r="E694">
        <v>0.7096710205078125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285.78125</v>
      </c>
      <c r="D695">
        <v>2.0006866455078125</v>
      </c>
      <c r="E695">
        <v>1.17095947265625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286.05950927734375</v>
      </c>
      <c r="D696">
        <v>1.72216796875</v>
      </c>
      <c r="E696">
        <v>1.115264892578125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286.088623046875</v>
      </c>
      <c r="D697">
        <v>2.7374114990234375</v>
      </c>
      <c r="E697">
        <v>1.368499755859375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285.669677734375</v>
      </c>
      <c r="D698">
        <v>3.6316070556640625</v>
      </c>
      <c r="E698">
        <v>1.61322021484375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284.7080078125</v>
      </c>
      <c r="D699">
        <v>4.0503387451171875</v>
      </c>
      <c r="E699">
        <v>1.2505035400390625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283.8741455078125</v>
      </c>
      <c r="D700">
        <v>3.632476806640625</v>
      </c>
      <c r="E700">
        <v>0.6374359130859375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283.420166015625</v>
      </c>
      <c r="D701">
        <v>3.0532379150390625</v>
      </c>
      <c r="E701">
        <v>0.282318115234375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283.1793212890625</v>
      </c>
      <c r="D702">
        <v>2.50360107421875</v>
      </c>
      <c r="E702">
        <v>-8.46099853515625E-2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283.0316162109375</v>
      </c>
      <c r="D703">
        <v>1.5851593017578125</v>
      </c>
      <c r="E703">
        <v>-0.5172119140625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282.9193115234375</v>
      </c>
      <c r="D704">
        <v>0.4871368408203125</v>
      </c>
      <c r="E704">
        <v>-0.4253997802734375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282.857421875</v>
      </c>
      <c r="D705">
        <v>6.5032958984375E-2</v>
      </c>
      <c r="E705">
        <v>-0.2686004638671875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282.75927734375</v>
      </c>
      <c r="D706">
        <v>0.2537994384765625</v>
      </c>
      <c r="E706">
        <v>-0.20587158203125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9.55352783203125E-2</v>
      </c>
      <c r="E707">
        <v>-0.2467803955078125</v>
      </c>
      <c r="F707">
        <v>4.76837158203125E-7</v>
      </c>
      <c r="G707">
        <f>Sayfa1!F707*1000</f>
        <v>4.76837158203125E-4</v>
      </c>
    </row>
    <row r="708" spans="2:7" x14ac:dyDescent="0.3">
      <c r="B708" s="1">
        <v>0.41666666666666669</v>
      </c>
      <c r="C708">
        <v>283.52716064453125</v>
      </c>
      <c r="D708">
        <v>-1.251617431640625</v>
      </c>
      <c r="E708">
        <v>-0.9302215576171875</v>
      </c>
      <c r="F708">
        <v>3.337860107421875E-6</v>
      </c>
      <c r="G708">
        <f>Sayfa1!F708*1000</f>
        <v>3.337860107421875E-3</v>
      </c>
    </row>
    <row r="709" spans="2:7" x14ac:dyDescent="0.3">
      <c r="B709" s="1">
        <v>0.45833333333333331</v>
      </c>
      <c r="C709">
        <v>283.43157958984375</v>
      </c>
      <c r="D709">
        <v>-1.6028900146484375</v>
      </c>
      <c r="E709">
        <v>-0.152191162109375</v>
      </c>
      <c r="F709">
        <v>2.384185791015625E-6</v>
      </c>
      <c r="G709">
        <f>Sayfa1!F709*1000</f>
        <v>2.384185791015625E-3</v>
      </c>
    </row>
    <row r="710" spans="2:7" x14ac:dyDescent="0.3">
      <c r="B710" s="1">
        <v>0.5</v>
      </c>
      <c r="C710">
        <v>283.20916748046875</v>
      </c>
      <c r="D710">
        <v>-1.8503265380859375</v>
      </c>
      <c r="E710">
        <v>-7.53631591796875E-2</v>
      </c>
      <c r="F710">
        <v>4.76837158203125E-6</v>
      </c>
      <c r="G710">
        <f>Sayfa1!F710*1000</f>
        <v>4.76837158203125E-3</v>
      </c>
    </row>
    <row r="711" spans="2:7" x14ac:dyDescent="0.3">
      <c r="B711" s="1">
        <v>0.54166666666666663</v>
      </c>
      <c r="C711">
        <v>282.96176147460938</v>
      </c>
      <c r="D711">
        <v>-2.0005340576171875</v>
      </c>
      <c r="E711">
        <v>-0.2700347900390625</v>
      </c>
      <c r="F711">
        <v>4.76837158203125E-6</v>
      </c>
      <c r="G711">
        <f>Sayfa1!F711*1000</f>
        <v>4.76837158203125E-3</v>
      </c>
    </row>
    <row r="712" spans="2:7" x14ac:dyDescent="0.3">
      <c r="B712" s="1">
        <v>0.58333333333333337</v>
      </c>
      <c r="C712">
        <v>282.7900390625</v>
      </c>
      <c r="D712">
        <v>-1.9810028076171875</v>
      </c>
      <c r="E712">
        <v>-0.54449462890625</v>
      </c>
      <c r="F712">
        <v>6.67572021484375E-6</v>
      </c>
      <c r="G712">
        <f>Sayfa1!F712*1000</f>
        <v>6.67572021484375E-3</v>
      </c>
    </row>
    <row r="713" spans="2:7" x14ac:dyDescent="0.3">
      <c r="B713" s="1">
        <v>0.625</v>
      </c>
      <c r="C713">
        <v>282.7305908203125</v>
      </c>
      <c r="D713">
        <v>-1.921234130859375</v>
      </c>
      <c r="E713">
        <v>-0.6196746826171875</v>
      </c>
      <c r="F713">
        <v>1.239776611328125E-5</v>
      </c>
      <c r="G713">
        <f>Sayfa1!F713*1000</f>
        <v>1.239776611328125E-2</v>
      </c>
    </row>
    <row r="714" spans="2:7" x14ac:dyDescent="0.3">
      <c r="B714" s="1">
        <v>0.66666666666666663</v>
      </c>
      <c r="C714">
        <v>282.75775146484375</v>
      </c>
      <c r="D714">
        <v>-1.349700927734375</v>
      </c>
      <c r="E714">
        <v>-0.3432769775390625</v>
      </c>
      <c r="F714">
        <v>9.5367431640625E-6</v>
      </c>
      <c r="G714">
        <f>Sayfa1!F714*1000</f>
        <v>9.5367431640625E-3</v>
      </c>
    </row>
    <row r="715" spans="2:7" x14ac:dyDescent="0.3">
      <c r="B715" s="1">
        <v>0.70833333333333337</v>
      </c>
      <c r="C715">
        <v>282.75836181640625</v>
      </c>
      <c r="D715">
        <v>-1.1260833740234375</v>
      </c>
      <c r="E715">
        <v>-0.2645721435546875</v>
      </c>
      <c r="F715">
        <v>4.291534423828125E-6</v>
      </c>
      <c r="G715">
        <f>Sayfa1!F715*1000</f>
        <v>4.291534423828125E-3</v>
      </c>
    </row>
    <row r="716" spans="2:7" x14ac:dyDescent="0.3">
      <c r="B716" s="1">
        <v>0.75</v>
      </c>
      <c r="C716">
        <v>283.51727294921875</v>
      </c>
      <c r="D716">
        <v>-4.1412353515625E-2</v>
      </c>
      <c r="E716">
        <v>0.4790802001953125</v>
      </c>
      <c r="F716">
        <v>1.430511474609375E-6</v>
      </c>
      <c r="G716">
        <f>Sayfa1!F716*1000</f>
        <v>1.430511474609375E-3</v>
      </c>
    </row>
    <row r="717" spans="2:7" x14ac:dyDescent="0.3">
      <c r="B717" s="1">
        <v>0.79166666666666663</v>
      </c>
      <c r="C717">
        <v>284.087890625</v>
      </c>
      <c r="D717">
        <v>0.666290283203125</v>
      </c>
      <c r="E717">
        <v>0.690948486328125</v>
      </c>
      <c r="F717">
        <v>0</v>
      </c>
      <c r="G717">
        <f>Sayfa1!F717*1000</f>
        <v>0</v>
      </c>
    </row>
    <row r="718" spans="2:7" x14ac:dyDescent="0.3">
      <c r="B718" s="1">
        <v>0.83333333333333337</v>
      </c>
      <c r="C718">
        <v>284.434814453125</v>
      </c>
      <c r="D718">
        <v>0.9864654541015625</v>
      </c>
      <c r="E718">
        <v>0.68017578125</v>
      </c>
      <c r="F718">
        <v>0</v>
      </c>
      <c r="G718">
        <f>Sayfa1!F718*1000</f>
        <v>0</v>
      </c>
    </row>
    <row r="719" spans="2:7" x14ac:dyDescent="0.3">
      <c r="B719" s="1">
        <v>0.875</v>
      </c>
      <c r="C719">
        <v>284.779052734375</v>
      </c>
      <c r="D719">
        <v>1.3186798095703125</v>
      </c>
      <c r="E719">
        <v>0.785125732421875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284.861083984375</v>
      </c>
      <c r="D720">
        <v>0.6342010498046875</v>
      </c>
      <c r="E720">
        <v>-0.1936187744140625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285.213134765625</v>
      </c>
      <c r="D721">
        <v>0.7567138671875</v>
      </c>
      <c r="E721">
        <v>0.58392333984375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285.3089599609375</v>
      </c>
      <c r="D722">
        <v>0.85186767578125</v>
      </c>
      <c r="E722">
        <v>0.95074462890625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285.0191650390625</v>
      </c>
      <c r="D723">
        <v>1.094146728515625</v>
      </c>
      <c r="E723">
        <v>1.0791015625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284.497802734375</v>
      </c>
      <c r="D724">
        <v>1.374114990234375</v>
      </c>
      <c r="E724">
        <v>1.119232177734375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284.0665283203125</v>
      </c>
      <c r="D725">
        <v>1.8439178466796875</v>
      </c>
      <c r="E725">
        <v>0.536590576171875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283.5987548828125</v>
      </c>
      <c r="D726">
        <v>3.12957763671875</v>
      </c>
      <c r="E726">
        <v>-0.406768798828125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283.0933837890625</v>
      </c>
      <c r="D727">
        <v>3.3203125</v>
      </c>
      <c r="E727">
        <v>-1.4369964599609375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282.8375244140625</v>
      </c>
      <c r="D728">
        <v>2.3439788818359375</v>
      </c>
      <c r="E728">
        <v>-2.0677337646484375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282.784912109375</v>
      </c>
      <c r="D729">
        <v>1.527618408203125</v>
      </c>
      <c r="E729">
        <v>-2.152099609375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282.775146484375</v>
      </c>
      <c r="D730">
        <v>1.49627685546875</v>
      </c>
      <c r="E730">
        <v>-2.1256561279296875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282.744384765625</v>
      </c>
      <c r="D731">
        <v>1.0286407470703125</v>
      </c>
      <c r="E731">
        <v>-2.0761260986328125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282.087158203125</v>
      </c>
      <c r="D732">
        <v>-0.3900604248046875</v>
      </c>
      <c r="E732">
        <v>-1.6292572021484375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282.2730712890625</v>
      </c>
      <c r="D733">
        <v>-0.2676239013671875</v>
      </c>
      <c r="E733">
        <v>-1.2452392578125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282.3778076171875</v>
      </c>
      <c r="D734">
        <v>-0.89434814453125</v>
      </c>
      <c r="E734">
        <v>-0.9161529541015625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282.3870849609375</v>
      </c>
      <c r="D735">
        <v>-1.1009063720703125</v>
      </c>
      <c r="E735">
        <v>-0.566864013671875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282.24462890625</v>
      </c>
      <c r="D736">
        <v>-0.20159912109375</v>
      </c>
      <c r="E736">
        <v>-0.801025390625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282.20556640625</v>
      </c>
      <c r="D737">
        <v>0.1050567626953125</v>
      </c>
      <c r="E737">
        <v>-1.2447357177734375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282.32177734375</v>
      </c>
      <c r="D738">
        <v>1.06158447265625</v>
      </c>
      <c r="E738">
        <v>-1.259521484375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282.5225830078125</v>
      </c>
      <c r="D739">
        <v>0.99176025390625</v>
      </c>
      <c r="E739">
        <v>-1.0967864990234375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283.5504150390625</v>
      </c>
      <c r="D740">
        <v>1.3498077392578125</v>
      </c>
      <c r="E740">
        <v>-0.4803466796875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285.057861328125</v>
      </c>
      <c r="D741">
        <v>1.57696533203125</v>
      </c>
      <c r="E741">
        <v>-0.3744049072265625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286.13916015625</v>
      </c>
      <c r="D742">
        <v>1.87615966796875</v>
      </c>
      <c r="E742">
        <v>0.479034423828125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286.66015625</v>
      </c>
      <c r="D743">
        <v>3.05535888671875</v>
      </c>
      <c r="E743">
        <v>0.611846923828125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286.821533203125</v>
      </c>
      <c r="D744">
        <v>0.745758056640625</v>
      </c>
      <c r="E744">
        <v>1.1232757568359375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286.85498046875</v>
      </c>
      <c r="D745">
        <v>2.5226898193359375</v>
      </c>
      <c r="E745">
        <v>1.17156982421875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2025-04-24T22:41:18Z</dcterms:modified>
</cp:coreProperties>
</file>