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ARAŞTIRMA\LA_pointdata\"/>
    </mc:Choice>
  </mc:AlternateContent>
  <xr:revisionPtr revIDLastSave="0" documentId="13_ncr:1_{D1242045-C9F1-4DF9-85E1-9BB9EACEF3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ayfa1" sheetId="2" r:id="rId2"/>
  </sheet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I703" i="1" s="1"/>
  <c r="G681" i="2"/>
  <c r="G680" i="2"/>
  <c r="G679" i="2"/>
  <c r="G678" i="2"/>
  <c r="G677" i="2"/>
  <c r="G676" i="2"/>
  <c r="G675" i="2"/>
  <c r="G674" i="2"/>
  <c r="I695" i="1" s="1"/>
  <c r="G673" i="2"/>
  <c r="G672" i="2"/>
  <c r="G671" i="2"/>
  <c r="G670" i="2"/>
  <c r="G669" i="2"/>
  <c r="G668" i="2"/>
  <c r="G667" i="2"/>
  <c r="G666" i="2"/>
  <c r="I687" i="1" s="1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I41" i="1"/>
  <c r="I49" i="1"/>
  <c r="I73" i="1"/>
  <c r="I81" i="1"/>
  <c r="I89" i="1"/>
  <c r="I97" i="1"/>
  <c r="I105" i="1"/>
  <c r="I113" i="1"/>
  <c r="I137" i="1"/>
  <c r="I145" i="1"/>
  <c r="I153" i="1"/>
  <c r="I161" i="1"/>
  <c r="I169" i="1"/>
  <c r="I177" i="1"/>
  <c r="I201" i="1"/>
  <c r="I209" i="1"/>
  <c r="I217" i="1"/>
  <c r="I225" i="1"/>
  <c r="I233" i="1"/>
  <c r="I241" i="1"/>
  <c r="I265" i="1"/>
  <c r="I273" i="1"/>
  <c r="I281" i="1"/>
  <c r="I289" i="1"/>
  <c r="I297" i="1"/>
  <c r="I305" i="1"/>
  <c r="I329" i="1"/>
  <c r="I337" i="1"/>
  <c r="I345" i="1"/>
  <c r="I353" i="1"/>
  <c r="I361" i="1"/>
  <c r="I369" i="1"/>
  <c r="I393" i="1"/>
  <c r="I401" i="1"/>
  <c r="I409" i="1"/>
  <c r="I417" i="1"/>
  <c r="I425" i="1"/>
  <c r="I433" i="1"/>
  <c r="I457" i="1"/>
  <c r="I465" i="1"/>
  <c r="I466" i="1"/>
  <c r="I473" i="1"/>
  <c r="I474" i="1"/>
  <c r="I481" i="1"/>
  <c r="I490" i="1"/>
  <c r="I494" i="1"/>
  <c r="I497" i="1"/>
  <c r="I498" i="1"/>
  <c r="I502" i="1"/>
  <c r="I505" i="1"/>
  <c r="I510" i="1"/>
  <c r="I513" i="1"/>
  <c r="I514" i="1"/>
  <c r="I518" i="1"/>
  <c r="I521" i="1"/>
  <c r="I522" i="1"/>
  <c r="I526" i="1"/>
  <c r="I530" i="1"/>
  <c r="I534" i="1"/>
  <c r="I537" i="1"/>
  <c r="I538" i="1"/>
  <c r="I542" i="1"/>
  <c r="I545" i="1"/>
  <c r="I546" i="1"/>
  <c r="I553" i="1"/>
  <c r="I554" i="1"/>
  <c r="I558" i="1"/>
  <c r="I561" i="1"/>
  <c r="I562" i="1"/>
  <c r="I566" i="1"/>
  <c r="I569" i="1"/>
  <c r="I574" i="1"/>
  <c r="I577" i="1"/>
  <c r="I578" i="1"/>
  <c r="I582" i="1"/>
  <c r="I585" i="1"/>
  <c r="I586" i="1"/>
  <c r="I590" i="1"/>
  <c r="I594" i="1"/>
  <c r="I598" i="1"/>
  <c r="I601" i="1"/>
  <c r="I602" i="1"/>
  <c r="I606" i="1"/>
  <c r="I609" i="1"/>
  <c r="I610" i="1"/>
  <c r="I617" i="1"/>
  <c r="I618" i="1"/>
  <c r="I622" i="1"/>
  <c r="I625" i="1"/>
  <c r="I626" i="1"/>
  <c r="I630" i="1"/>
  <c r="I633" i="1"/>
  <c r="I638" i="1"/>
  <c r="I641" i="1"/>
  <c r="I642" i="1"/>
  <c r="I646" i="1"/>
  <c r="I648" i="1"/>
  <c r="I649" i="1"/>
  <c r="I650" i="1"/>
  <c r="I651" i="1"/>
  <c r="I654" i="1"/>
  <c r="I656" i="1"/>
  <c r="I657" i="1"/>
  <c r="I658" i="1"/>
  <c r="I659" i="1"/>
  <c r="I662" i="1"/>
  <c r="I664" i="1"/>
  <c r="I665" i="1"/>
  <c r="I666" i="1"/>
  <c r="I667" i="1"/>
  <c r="I669" i="1"/>
  <c r="I670" i="1"/>
  <c r="I672" i="1"/>
  <c r="I673" i="1"/>
  <c r="I674" i="1"/>
  <c r="I675" i="1"/>
  <c r="I677" i="1"/>
  <c r="I678" i="1"/>
  <c r="I680" i="1"/>
  <c r="I681" i="1"/>
  <c r="I682" i="1"/>
  <c r="I683" i="1"/>
  <c r="I684" i="1"/>
  <c r="I685" i="1"/>
  <c r="I686" i="1"/>
  <c r="I688" i="1"/>
  <c r="I689" i="1"/>
  <c r="I690" i="1"/>
  <c r="I691" i="1"/>
  <c r="I692" i="1"/>
  <c r="I693" i="1"/>
  <c r="I694" i="1"/>
  <c r="I696" i="1"/>
  <c r="I697" i="1"/>
  <c r="I698" i="1"/>
  <c r="I699" i="1"/>
  <c r="I700" i="1"/>
  <c r="I701" i="1"/>
  <c r="I702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2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2" i="1"/>
  <c r="I26" i="1" l="1"/>
  <c r="I30" i="1"/>
  <c r="I34" i="1"/>
  <c r="I38" i="1"/>
  <c r="I42" i="1"/>
  <c r="I46" i="1"/>
  <c r="I50" i="1"/>
  <c r="I54" i="1"/>
  <c r="I56" i="1"/>
  <c r="I58" i="1"/>
  <c r="I62" i="1"/>
  <c r="I64" i="1"/>
  <c r="I66" i="1"/>
  <c r="I70" i="1"/>
  <c r="I72" i="1"/>
  <c r="I74" i="1"/>
  <c r="I78" i="1"/>
  <c r="I80" i="1"/>
  <c r="I82" i="1"/>
  <c r="I86" i="1"/>
  <c r="I88" i="1"/>
  <c r="I90" i="1"/>
  <c r="I94" i="1"/>
  <c r="I96" i="1"/>
  <c r="I98" i="1"/>
  <c r="I102" i="1"/>
  <c r="I104" i="1"/>
  <c r="I106" i="1"/>
  <c r="I110" i="1"/>
  <c r="I112" i="1"/>
  <c r="I114" i="1"/>
  <c r="I118" i="1"/>
  <c r="I120" i="1"/>
  <c r="I122" i="1"/>
  <c r="I126" i="1"/>
  <c r="I128" i="1"/>
  <c r="I130" i="1"/>
  <c r="I134" i="1"/>
  <c r="I136" i="1"/>
  <c r="I138" i="1"/>
  <c r="I141" i="1"/>
  <c r="I142" i="1"/>
  <c r="I143" i="1"/>
  <c r="I144" i="1"/>
  <c r="I146" i="1"/>
  <c r="I147" i="1"/>
  <c r="I149" i="1"/>
  <c r="I150" i="1"/>
  <c r="I151" i="1"/>
  <c r="I152" i="1"/>
  <c r="I154" i="1"/>
  <c r="I155" i="1"/>
  <c r="I156" i="1"/>
  <c r="I157" i="1"/>
  <c r="I158" i="1"/>
  <c r="I159" i="1"/>
  <c r="I160" i="1"/>
  <c r="I162" i="1"/>
  <c r="I163" i="1"/>
  <c r="I164" i="1"/>
  <c r="I165" i="1"/>
  <c r="I166" i="1"/>
  <c r="I167" i="1"/>
  <c r="I168" i="1"/>
  <c r="I170" i="1"/>
  <c r="I171" i="1"/>
  <c r="I172" i="1"/>
  <c r="I173" i="1"/>
  <c r="I174" i="1"/>
  <c r="I175" i="1"/>
  <c r="I176" i="1"/>
  <c r="I178" i="1"/>
  <c r="I179" i="1"/>
  <c r="I180" i="1"/>
  <c r="I181" i="1"/>
  <c r="I182" i="1"/>
  <c r="I183" i="1"/>
  <c r="I184" i="1"/>
  <c r="I186" i="1"/>
  <c r="I187" i="1"/>
  <c r="I188" i="1"/>
  <c r="I189" i="1"/>
  <c r="I190" i="1"/>
  <c r="I191" i="1"/>
  <c r="I192" i="1"/>
  <c r="I194" i="1"/>
  <c r="I195" i="1"/>
  <c r="I196" i="1"/>
  <c r="I197" i="1"/>
  <c r="I198" i="1"/>
  <c r="I199" i="1"/>
  <c r="I200" i="1"/>
  <c r="I202" i="1"/>
  <c r="I203" i="1"/>
  <c r="I204" i="1"/>
  <c r="I205" i="1"/>
  <c r="I206" i="1"/>
  <c r="I207" i="1"/>
  <c r="I208" i="1"/>
  <c r="I210" i="1"/>
  <c r="I211" i="1"/>
  <c r="I212" i="1"/>
  <c r="I213" i="1"/>
  <c r="I214" i="1"/>
  <c r="I215" i="1"/>
  <c r="I216" i="1"/>
  <c r="I218" i="1"/>
  <c r="I219" i="1"/>
  <c r="I220" i="1"/>
  <c r="I221" i="1"/>
  <c r="I222" i="1"/>
  <c r="I223" i="1"/>
  <c r="I224" i="1"/>
  <c r="I226" i="1"/>
  <c r="I227" i="1"/>
  <c r="I228" i="1"/>
  <c r="I229" i="1"/>
  <c r="I230" i="1"/>
  <c r="I231" i="1"/>
  <c r="I232" i="1"/>
  <c r="I234" i="1"/>
  <c r="I235" i="1"/>
  <c r="I236" i="1"/>
  <c r="I237" i="1"/>
  <c r="I238" i="1"/>
  <c r="I239" i="1"/>
  <c r="I240" i="1"/>
  <c r="I242" i="1"/>
  <c r="I243" i="1"/>
  <c r="I244" i="1"/>
  <c r="I245" i="1"/>
  <c r="I246" i="1"/>
  <c r="I247" i="1"/>
  <c r="I248" i="1"/>
  <c r="I250" i="1"/>
  <c r="I251" i="1"/>
  <c r="I252" i="1"/>
  <c r="I253" i="1"/>
  <c r="I254" i="1"/>
  <c r="I255" i="1"/>
  <c r="I256" i="1"/>
  <c r="I258" i="1"/>
  <c r="I259" i="1"/>
  <c r="I260" i="1"/>
  <c r="I261" i="1"/>
  <c r="I262" i="1"/>
  <c r="I263" i="1"/>
  <c r="I264" i="1"/>
  <c r="I266" i="1"/>
  <c r="I267" i="1"/>
  <c r="I268" i="1"/>
  <c r="I269" i="1"/>
  <c r="I270" i="1"/>
  <c r="I271" i="1"/>
  <c r="I272" i="1"/>
  <c r="I274" i="1"/>
  <c r="I275" i="1"/>
  <c r="I276" i="1"/>
  <c r="I277" i="1"/>
  <c r="I278" i="1"/>
  <c r="I279" i="1"/>
  <c r="I280" i="1"/>
  <c r="I282" i="1"/>
  <c r="I283" i="1"/>
  <c r="I284" i="1"/>
  <c r="I285" i="1"/>
  <c r="I286" i="1"/>
  <c r="I287" i="1"/>
  <c r="I288" i="1"/>
  <c r="I290" i="1"/>
  <c r="I291" i="1"/>
  <c r="I292" i="1"/>
  <c r="I293" i="1"/>
  <c r="I294" i="1"/>
  <c r="I295" i="1"/>
  <c r="I296" i="1"/>
  <c r="I298" i="1"/>
  <c r="I299" i="1"/>
  <c r="I300" i="1"/>
  <c r="I301" i="1"/>
  <c r="I302" i="1"/>
  <c r="I303" i="1"/>
  <c r="I304" i="1"/>
  <c r="I306" i="1"/>
  <c r="I307" i="1"/>
  <c r="I308" i="1"/>
  <c r="I309" i="1"/>
  <c r="I310" i="1"/>
  <c r="I311" i="1"/>
  <c r="I312" i="1"/>
  <c r="I314" i="1"/>
  <c r="I315" i="1"/>
  <c r="I316" i="1"/>
  <c r="I317" i="1"/>
  <c r="I318" i="1"/>
  <c r="I319" i="1"/>
  <c r="I320" i="1"/>
  <c r="I322" i="1"/>
  <c r="I323" i="1"/>
  <c r="I324" i="1"/>
  <c r="I325" i="1"/>
  <c r="I326" i="1"/>
  <c r="I327" i="1"/>
  <c r="I328" i="1"/>
  <c r="I330" i="1"/>
  <c r="I331" i="1"/>
  <c r="I332" i="1"/>
  <c r="I333" i="1"/>
  <c r="I334" i="1"/>
  <c r="I335" i="1"/>
  <c r="I336" i="1"/>
  <c r="I338" i="1"/>
  <c r="I339" i="1"/>
  <c r="I340" i="1"/>
  <c r="I341" i="1"/>
  <c r="I342" i="1"/>
  <c r="I343" i="1"/>
  <c r="I344" i="1"/>
  <c r="I346" i="1"/>
  <c r="I347" i="1"/>
  <c r="I348" i="1"/>
  <c r="I349" i="1"/>
  <c r="I350" i="1"/>
  <c r="I351" i="1"/>
  <c r="I352" i="1"/>
  <c r="I354" i="1"/>
  <c r="I355" i="1"/>
  <c r="I356" i="1"/>
  <c r="I357" i="1"/>
  <c r="I358" i="1"/>
  <c r="I359" i="1"/>
  <c r="I360" i="1"/>
  <c r="I362" i="1"/>
  <c r="I363" i="1"/>
  <c r="I364" i="1"/>
  <c r="I365" i="1"/>
  <c r="I366" i="1"/>
  <c r="I367" i="1"/>
  <c r="I368" i="1"/>
  <c r="I370" i="1"/>
  <c r="I371" i="1"/>
  <c r="I372" i="1"/>
  <c r="I373" i="1"/>
  <c r="I374" i="1"/>
  <c r="I375" i="1"/>
  <c r="I376" i="1"/>
  <c r="I378" i="1"/>
  <c r="I379" i="1"/>
  <c r="I380" i="1"/>
  <c r="I381" i="1"/>
  <c r="I382" i="1"/>
  <c r="I383" i="1"/>
  <c r="I384" i="1"/>
  <c r="I386" i="1"/>
  <c r="I387" i="1"/>
  <c r="I388" i="1"/>
  <c r="I389" i="1"/>
  <c r="I390" i="1"/>
  <c r="I391" i="1"/>
  <c r="I392" i="1"/>
  <c r="I394" i="1"/>
  <c r="I395" i="1"/>
  <c r="I396" i="1"/>
  <c r="I397" i="1"/>
  <c r="I398" i="1"/>
  <c r="I399" i="1"/>
  <c r="I400" i="1"/>
  <c r="I402" i="1"/>
  <c r="I403" i="1"/>
  <c r="I404" i="1"/>
  <c r="I405" i="1"/>
  <c r="I406" i="1"/>
  <c r="I407" i="1"/>
  <c r="I408" i="1"/>
  <c r="I410" i="1"/>
  <c r="I411" i="1"/>
  <c r="I412" i="1"/>
  <c r="I413" i="1"/>
  <c r="I414" i="1"/>
  <c r="I415" i="1"/>
  <c r="I416" i="1"/>
  <c r="I418" i="1"/>
  <c r="I419" i="1"/>
  <c r="I420" i="1"/>
  <c r="I421" i="1"/>
  <c r="I422" i="1"/>
  <c r="I423" i="1"/>
  <c r="I424" i="1"/>
  <c r="I426" i="1"/>
  <c r="I427" i="1"/>
  <c r="I428" i="1"/>
  <c r="I429" i="1"/>
  <c r="I430" i="1"/>
  <c r="I431" i="1"/>
  <c r="I432" i="1"/>
  <c r="I434" i="1"/>
  <c r="I435" i="1"/>
  <c r="I436" i="1"/>
  <c r="I437" i="1"/>
  <c r="I438" i="1"/>
  <c r="I439" i="1"/>
  <c r="I440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8" i="1"/>
  <c r="I459" i="1"/>
  <c r="I460" i="1"/>
  <c r="I461" i="1"/>
  <c r="I462" i="1"/>
  <c r="I463" i="1"/>
  <c r="I464" i="1"/>
  <c r="I467" i="1"/>
  <c r="I468" i="1"/>
  <c r="I469" i="1"/>
  <c r="I470" i="1"/>
  <c r="I471" i="1"/>
  <c r="I472" i="1"/>
  <c r="I475" i="1"/>
  <c r="I476" i="1"/>
  <c r="I477" i="1"/>
  <c r="I478" i="1"/>
  <c r="I479" i="1"/>
  <c r="I480" i="1"/>
  <c r="I483" i="1"/>
  <c r="I484" i="1"/>
  <c r="I485" i="1"/>
  <c r="I486" i="1"/>
  <c r="I487" i="1"/>
  <c r="I488" i="1"/>
  <c r="I491" i="1"/>
  <c r="I492" i="1"/>
  <c r="I493" i="1"/>
  <c r="I495" i="1"/>
  <c r="I496" i="1"/>
  <c r="I499" i="1"/>
  <c r="I500" i="1"/>
  <c r="I501" i="1"/>
  <c r="I503" i="1"/>
  <c r="I504" i="1"/>
  <c r="I507" i="1"/>
  <c r="I508" i="1"/>
  <c r="I509" i="1"/>
  <c r="I511" i="1"/>
  <c r="I512" i="1"/>
  <c r="I515" i="1"/>
  <c r="I516" i="1"/>
  <c r="I517" i="1"/>
  <c r="I519" i="1"/>
  <c r="I520" i="1"/>
  <c r="I523" i="1"/>
  <c r="I524" i="1"/>
  <c r="I525" i="1"/>
  <c r="I527" i="1"/>
  <c r="I528" i="1"/>
  <c r="I531" i="1"/>
  <c r="I532" i="1"/>
  <c r="I533" i="1"/>
  <c r="I535" i="1"/>
  <c r="I536" i="1"/>
  <c r="I539" i="1"/>
  <c r="I540" i="1"/>
  <c r="I541" i="1"/>
  <c r="I543" i="1"/>
  <c r="I544" i="1"/>
  <c r="I547" i="1"/>
  <c r="I548" i="1"/>
  <c r="I549" i="1"/>
  <c r="I551" i="1"/>
  <c r="I552" i="1"/>
  <c r="I555" i="1"/>
  <c r="I556" i="1"/>
  <c r="I557" i="1"/>
  <c r="I559" i="1"/>
  <c r="I560" i="1"/>
  <c r="I563" i="1"/>
  <c r="I564" i="1"/>
  <c r="I565" i="1"/>
  <c r="I567" i="1"/>
  <c r="I568" i="1"/>
  <c r="I571" i="1"/>
  <c r="I572" i="1"/>
  <c r="I573" i="1"/>
  <c r="I575" i="1"/>
  <c r="I576" i="1"/>
  <c r="I579" i="1"/>
  <c r="I580" i="1"/>
  <c r="I581" i="1"/>
  <c r="I583" i="1"/>
  <c r="I584" i="1"/>
  <c r="I587" i="1"/>
  <c r="I588" i="1"/>
  <c r="I589" i="1"/>
  <c r="I591" i="1"/>
  <c r="I592" i="1"/>
  <c r="I595" i="1"/>
  <c r="I596" i="1"/>
  <c r="I597" i="1"/>
  <c r="I599" i="1"/>
  <c r="I600" i="1"/>
  <c r="I603" i="1"/>
  <c r="I604" i="1"/>
  <c r="I605" i="1"/>
  <c r="I607" i="1"/>
  <c r="I608" i="1"/>
  <c r="I611" i="1"/>
  <c r="I612" i="1"/>
  <c r="I613" i="1"/>
  <c r="I615" i="1"/>
  <c r="I616" i="1"/>
  <c r="I619" i="1"/>
  <c r="I620" i="1"/>
  <c r="I621" i="1"/>
  <c r="I623" i="1"/>
  <c r="I624" i="1"/>
  <c r="I627" i="1"/>
  <c r="I628" i="1"/>
  <c r="I629" i="1"/>
  <c r="I631" i="1"/>
  <c r="I632" i="1"/>
  <c r="I635" i="1"/>
  <c r="I636" i="1"/>
  <c r="I637" i="1"/>
  <c r="I639" i="1"/>
  <c r="I640" i="1"/>
  <c r="I643" i="1"/>
  <c r="I644" i="1"/>
  <c r="I645" i="1"/>
  <c r="I647" i="1"/>
  <c r="I652" i="1"/>
  <c r="I653" i="1"/>
  <c r="I655" i="1"/>
  <c r="I660" i="1"/>
  <c r="I661" i="1"/>
  <c r="I663" i="1"/>
  <c r="I668" i="1"/>
  <c r="I671" i="1"/>
  <c r="I676" i="1"/>
  <c r="I679" i="1"/>
  <c r="I489" i="1"/>
  <c r="I449" i="1"/>
  <c r="I385" i="1"/>
  <c r="I321" i="1"/>
  <c r="I257" i="1"/>
  <c r="I193" i="1"/>
  <c r="I129" i="1"/>
  <c r="I65" i="1"/>
  <c r="I27" i="1"/>
  <c r="I35" i="1"/>
  <c r="I43" i="1"/>
  <c r="I51" i="1"/>
  <c r="I59" i="1"/>
  <c r="I67" i="1"/>
  <c r="I75" i="1"/>
  <c r="I83" i="1"/>
  <c r="I91" i="1"/>
  <c r="I99" i="1"/>
  <c r="I107" i="1"/>
  <c r="I115" i="1"/>
  <c r="I123" i="1"/>
  <c r="I131" i="1"/>
  <c r="I139" i="1"/>
  <c r="I148" i="1"/>
  <c r="I634" i="1"/>
  <c r="I614" i="1"/>
  <c r="I593" i="1"/>
  <c r="I570" i="1"/>
  <c r="I550" i="1"/>
  <c r="I529" i="1"/>
  <c r="I506" i="1"/>
  <c r="I482" i="1"/>
  <c r="I441" i="1"/>
  <c r="I377" i="1"/>
  <c r="I313" i="1"/>
  <c r="I249" i="1"/>
  <c r="I185" i="1"/>
  <c r="I121" i="1"/>
  <c r="I57" i="1"/>
  <c r="I33" i="1"/>
  <c r="I29" i="1"/>
  <c r="I37" i="1"/>
  <c r="I45" i="1"/>
  <c r="I53" i="1"/>
  <c r="I61" i="1"/>
  <c r="I69" i="1"/>
  <c r="I77" i="1"/>
  <c r="I85" i="1"/>
  <c r="I93" i="1"/>
  <c r="I101" i="1"/>
  <c r="I109" i="1"/>
  <c r="I117" i="1"/>
  <c r="I125" i="1"/>
  <c r="I133" i="1"/>
  <c r="I48" i="1"/>
  <c r="I40" i="1"/>
  <c r="I32" i="1"/>
  <c r="I135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140" i="1"/>
  <c r="I132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</calcChain>
</file>

<file path=xl/sharedStrings.xml><?xml version="1.0" encoding="utf-8"?>
<sst xmlns="http://schemas.openxmlformats.org/spreadsheetml/2006/main" count="15" uniqueCount="15">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</sst>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5"/>
  <sheetViews>
    <sheetView tabSelected="1" workbookViewId="0">
      <selection activeCell="L11" sqref="L11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20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Q1" s="2"/>
      <c r="T1" s="2"/>
    </row>
    <row r="2" spans="1:20" x14ac:dyDescent="0.3">
      <c r="A2">
        <v>-118.75</v>
      </c>
      <c r="B2">
        <v>34.25</v>
      </c>
      <c r="C2">
        <v>2025</v>
      </c>
      <c r="D2">
        <v>1</v>
      </c>
      <c r="E2">
        <v>1</v>
      </c>
      <c r="F2">
        <f>Sayfa1!C2-273.15</f>
        <v>18.717187500000023</v>
      </c>
      <c r="G2">
        <v>47.048385620117188</v>
      </c>
      <c r="H2">
        <f>SQRT(Sayfa1!D2^2+Sayfa1!E2^2)</f>
        <v>0.500241864182006</v>
      </c>
      <c r="I2">
        <v>0</v>
      </c>
    </row>
    <row r="3" spans="1:20" x14ac:dyDescent="0.3">
      <c r="A3">
        <v>-118.75</v>
      </c>
      <c r="B3">
        <v>34.25</v>
      </c>
      <c r="C3">
        <v>2025</v>
      </c>
      <c r="D3">
        <v>1</v>
      </c>
      <c r="E3">
        <v>1</v>
      </c>
      <c r="F3">
        <f>Sayfa1!C3-273.15</f>
        <v>17.852563476562523</v>
      </c>
      <c r="G3">
        <v>55.93701171875</v>
      </c>
      <c r="H3">
        <f>SQRT(Sayfa1!D3^2+Sayfa1!E3^2)</f>
        <v>0.83985730565020866</v>
      </c>
      <c r="I3">
        <v>0</v>
      </c>
    </row>
    <row r="4" spans="1:20" x14ac:dyDescent="0.3">
      <c r="A4">
        <v>-118.75</v>
      </c>
      <c r="B4">
        <v>34.25</v>
      </c>
      <c r="C4">
        <v>2025</v>
      </c>
      <c r="D4">
        <v>1</v>
      </c>
      <c r="E4">
        <v>1</v>
      </c>
      <c r="F4">
        <f>Sayfa1!C4-273.15</f>
        <v>17.674707031250023</v>
      </c>
      <c r="G4">
        <v>62.911834716796875</v>
      </c>
      <c r="H4">
        <f>SQRT(Sayfa1!D4^2+Sayfa1!E4^2)</f>
        <v>0.66176948730743901</v>
      </c>
      <c r="I4">
        <v>0</v>
      </c>
    </row>
    <row r="5" spans="1:20" x14ac:dyDescent="0.3">
      <c r="A5">
        <v>-118.75</v>
      </c>
      <c r="B5">
        <v>34.25</v>
      </c>
      <c r="C5">
        <v>2025</v>
      </c>
      <c r="D5">
        <v>1</v>
      </c>
      <c r="E5">
        <v>1</v>
      </c>
      <c r="F5">
        <f>Sayfa1!C5-273.15</f>
        <v>17.721948242187523</v>
      </c>
      <c r="G5">
        <v>68.386154174804688</v>
      </c>
      <c r="H5">
        <f>SQRT(Sayfa1!D5^2+Sayfa1!E5^2)</f>
        <v>0.73560641566141338</v>
      </c>
      <c r="I5">
        <v>0</v>
      </c>
    </row>
    <row r="6" spans="1:20" x14ac:dyDescent="0.3">
      <c r="A6">
        <v>-118.75</v>
      </c>
      <c r="B6">
        <v>34.25</v>
      </c>
      <c r="C6">
        <v>2025</v>
      </c>
      <c r="D6">
        <v>1</v>
      </c>
      <c r="E6">
        <v>1</v>
      </c>
      <c r="F6">
        <f>Sayfa1!C6-273.15</f>
        <v>17.351953125000023</v>
      </c>
      <c r="G6">
        <v>73.85894775390625</v>
      </c>
      <c r="H6">
        <f>SQRT(Sayfa1!D6^2+Sayfa1!E6^2)</f>
        <v>1.5246718450352856</v>
      </c>
      <c r="I6">
        <v>0</v>
      </c>
    </row>
    <row r="7" spans="1:20" x14ac:dyDescent="0.3">
      <c r="A7">
        <v>-118.75</v>
      </c>
      <c r="B7">
        <v>34.25</v>
      </c>
      <c r="C7">
        <v>2025</v>
      </c>
      <c r="D7">
        <v>1</v>
      </c>
      <c r="E7">
        <v>1</v>
      </c>
      <c r="F7">
        <f>Sayfa1!C7-273.15</f>
        <v>16.919946289062523</v>
      </c>
      <c r="G7">
        <v>77.877227783203125</v>
      </c>
      <c r="H7">
        <f>SQRT(Sayfa1!D7^2+Sayfa1!E7^2)</f>
        <v>1.9650612352529977</v>
      </c>
      <c r="I7">
        <v>0</v>
      </c>
    </row>
    <row r="8" spans="1:20" x14ac:dyDescent="0.3">
      <c r="A8">
        <v>-118.75</v>
      </c>
      <c r="B8">
        <v>34.25</v>
      </c>
      <c r="C8">
        <v>2025</v>
      </c>
      <c r="D8">
        <v>1</v>
      </c>
      <c r="E8">
        <v>1</v>
      </c>
      <c r="F8">
        <f>Sayfa1!C8-273.15</f>
        <v>16.652612304687523</v>
      </c>
      <c r="G8">
        <v>78.839401245117188</v>
      </c>
      <c r="H8">
        <f>SQRT(Sayfa1!D8^2+Sayfa1!E8^2)</f>
        <v>2.0631361483450852</v>
      </c>
      <c r="I8">
        <v>0</v>
      </c>
    </row>
    <row r="9" spans="1:20" x14ac:dyDescent="0.3">
      <c r="A9">
        <v>-118.75</v>
      </c>
      <c r="B9">
        <v>34.25</v>
      </c>
      <c r="C9">
        <v>2025</v>
      </c>
      <c r="D9">
        <v>1</v>
      </c>
      <c r="E9">
        <v>1</v>
      </c>
      <c r="F9">
        <f>Sayfa1!C9-273.15</f>
        <v>16.457666015625023</v>
      </c>
      <c r="G9">
        <v>78.729751586914063</v>
      </c>
      <c r="H9">
        <f>SQRT(Sayfa1!D9^2+Sayfa1!E9^2)</f>
        <v>2.1370998267002475</v>
      </c>
      <c r="I9">
        <v>0</v>
      </c>
    </row>
    <row r="10" spans="1:20" x14ac:dyDescent="0.3">
      <c r="A10">
        <v>-118.75</v>
      </c>
      <c r="B10">
        <v>34.25</v>
      </c>
      <c r="C10">
        <v>2025</v>
      </c>
      <c r="D10">
        <v>1</v>
      </c>
      <c r="E10">
        <v>1</v>
      </c>
      <c r="F10">
        <f>Sayfa1!C10-273.15</f>
        <v>16.436669921875023</v>
      </c>
      <c r="G10">
        <v>76.982711791992188</v>
      </c>
      <c r="H10">
        <f>SQRT(Sayfa1!D10^2+Sayfa1!E10^2)</f>
        <v>2.1655006286624694</v>
      </c>
      <c r="I10">
        <v>0</v>
      </c>
    </row>
    <row r="11" spans="1:20" x14ac:dyDescent="0.3">
      <c r="A11">
        <v>-118.75</v>
      </c>
      <c r="B11">
        <v>34.25</v>
      </c>
      <c r="C11">
        <v>2025</v>
      </c>
      <c r="D11">
        <v>1</v>
      </c>
      <c r="E11">
        <v>1</v>
      </c>
      <c r="F11">
        <f>Sayfa1!C11-273.15</f>
        <v>16.396142578125023</v>
      </c>
      <c r="G11">
        <v>74.655029296875</v>
      </c>
      <c r="H11">
        <f>SQRT(Sayfa1!D11^2+Sayfa1!E11^2)</f>
        <v>2.1277253535689429</v>
      </c>
      <c r="I11">
        <v>0</v>
      </c>
    </row>
    <row r="12" spans="1:20" x14ac:dyDescent="0.3">
      <c r="A12">
        <v>-118.75</v>
      </c>
      <c r="B12">
        <v>34.25</v>
      </c>
      <c r="C12">
        <v>2025</v>
      </c>
      <c r="D12">
        <v>1</v>
      </c>
      <c r="E12">
        <v>1</v>
      </c>
      <c r="F12">
        <f>Sayfa1!C12-273.15</f>
        <v>15.368554687500023</v>
      </c>
      <c r="G12">
        <v>75.097091674804688</v>
      </c>
      <c r="H12">
        <f>SQRT(Sayfa1!D12^2+Sayfa1!E12^2)</f>
        <v>2.3989433594724874</v>
      </c>
      <c r="I12">
        <v>0</v>
      </c>
    </row>
    <row r="13" spans="1:20" x14ac:dyDescent="0.3">
      <c r="A13">
        <v>-118.75</v>
      </c>
      <c r="B13">
        <v>34.25</v>
      </c>
      <c r="C13">
        <v>2025</v>
      </c>
      <c r="D13">
        <v>1</v>
      </c>
      <c r="E13">
        <v>1</v>
      </c>
      <c r="F13">
        <f>Sayfa1!C13-273.15</f>
        <v>15.542626953125023</v>
      </c>
      <c r="G13">
        <v>69.62384033203125</v>
      </c>
      <c r="H13">
        <f>SQRT(Sayfa1!D13^2+Sayfa1!E13^2)</f>
        <v>2.112668977312147</v>
      </c>
      <c r="I13">
        <v>0</v>
      </c>
    </row>
    <row r="14" spans="1:20" x14ac:dyDescent="0.3">
      <c r="A14">
        <v>-118.75</v>
      </c>
      <c r="B14">
        <v>34.25</v>
      </c>
      <c r="C14">
        <v>2025</v>
      </c>
      <c r="D14">
        <v>1</v>
      </c>
      <c r="E14">
        <v>1</v>
      </c>
      <c r="F14">
        <f>Sayfa1!C14-273.15</f>
        <v>16.153710937500023</v>
      </c>
      <c r="G14">
        <v>68.000762939453125</v>
      </c>
      <c r="H14">
        <f>SQRT(Sayfa1!D14^2+Sayfa1!E14^2)</f>
        <v>2.1964656317110616</v>
      </c>
      <c r="I14">
        <v>0</v>
      </c>
    </row>
    <row r="15" spans="1:20" x14ac:dyDescent="0.3">
      <c r="A15">
        <v>-118.75</v>
      </c>
      <c r="B15">
        <v>34.25</v>
      </c>
      <c r="C15">
        <v>2025</v>
      </c>
      <c r="D15">
        <v>1</v>
      </c>
      <c r="E15">
        <v>1</v>
      </c>
      <c r="F15">
        <f>Sayfa1!C15-273.15</f>
        <v>16.326318359375023</v>
      </c>
      <c r="G15">
        <v>66.558609008789063</v>
      </c>
      <c r="H15">
        <f>SQRT(Sayfa1!D15^2+Sayfa1!E15^2)</f>
        <v>2.3004702244892949</v>
      </c>
      <c r="I15">
        <v>0</v>
      </c>
    </row>
    <row r="16" spans="1:20" x14ac:dyDescent="0.3">
      <c r="A16">
        <v>-118.75</v>
      </c>
      <c r="B16">
        <v>34.25</v>
      </c>
      <c r="C16">
        <v>2025</v>
      </c>
      <c r="D16">
        <v>1</v>
      </c>
      <c r="E16">
        <v>1</v>
      </c>
      <c r="F16">
        <f>Sayfa1!C16-273.15</f>
        <v>17.052392578125023</v>
      </c>
      <c r="G16">
        <v>64.780975341796875</v>
      </c>
      <c r="H16">
        <f>SQRT(Sayfa1!D16^2+Sayfa1!E16^2)</f>
        <v>2.4139886778917949</v>
      </c>
      <c r="I16">
        <v>0</v>
      </c>
    </row>
    <row r="17" spans="1:9" x14ac:dyDescent="0.3">
      <c r="A17">
        <v>-118.75</v>
      </c>
      <c r="B17">
        <v>34.25</v>
      </c>
      <c r="C17">
        <v>2025</v>
      </c>
      <c r="D17">
        <v>1</v>
      </c>
      <c r="E17">
        <v>1</v>
      </c>
      <c r="F17">
        <f>Sayfa1!C17-273.15</f>
        <v>17.554101562500023</v>
      </c>
      <c r="G17">
        <v>62.961441040039063</v>
      </c>
      <c r="H17">
        <f>SQRT(Sayfa1!D17^2+Sayfa1!E17^2)</f>
        <v>2.5734319139656936</v>
      </c>
      <c r="I17">
        <v>0</v>
      </c>
    </row>
    <row r="18" spans="1:9" x14ac:dyDescent="0.3">
      <c r="A18">
        <v>-118.75</v>
      </c>
      <c r="B18">
        <v>34.25</v>
      </c>
      <c r="C18">
        <v>2025</v>
      </c>
      <c r="D18">
        <v>1</v>
      </c>
      <c r="E18">
        <v>1</v>
      </c>
      <c r="F18">
        <f>Sayfa1!C18-273.15</f>
        <v>17.933251953125023</v>
      </c>
      <c r="G18">
        <v>59.095016479492188</v>
      </c>
      <c r="H18">
        <f>SQRT(Sayfa1!D18^2+Sayfa1!E18^2)</f>
        <v>2.4749540328511399</v>
      </c>
      <c r="I18">
        <v>0</v>
      </c>
    </row>
    <row r="19" spans="1:9" x14ac:dyDescent="0.3">
      <c r="A19">
        <v>-118.75</v>
      </c>
      <c r="B19">
        <v>34.25</v>
      </c>
      <c r="C19">
        <v>2025</v>
      </c>
      <c r="D19">
        <v>1</v>
      </c>
      <c r="E19">
        <v>1</v>
      </c>
      <c r="F19">
        <f>Sayfa1!C19-273.15</f>
        <v>18.016137695312523</v>
      </c>
      <c r="G19">
        <v>50.492568969726563</v>
      </c>
      <c r="H19">
        <f>SQRT(Sayfa1!D19^2+Sayfa1!E19^2)</f>
        <v>1.9913278483885954</v>
      </c>
      <c r="I19">
        <v>0</v>
      </c>
    </row>
    <row r="20" spans="1:9" x14ac:dyDescent="0.3">
      <c r="A20">
        <v>-118.75</v>
      </c>
      <c r="B20">
        <v>34.25</v>
      </c>
      <c r="C20">
        <v>2025</v>
      </c>
      <c r="D20">
        <v>1</v>
      </c>
      <c r="E20">
        <v>1</v>
      </c>
      <c r="F20">
        <f>Sayfa1!C20-273.15</f>
        <v>17.666528320312523</v>
      </c>
      <c r="G20">
        <v>38.626449584960938</v>
      </c>
      <c r="H20">
        <f>SQRT(Sayfa1!D20^2+Sayfa1!E20^2)</f>
        <v>1.4654248214427605</v>
      </c>
      <c r="I20">
        <v>0</v>
      </c>
    </row>
    <row r="21" spans="1:9" x14ac:dyDescent="0.3">
      <c r="A21">
        <v>-118.75</v>
      </c>
      <c r="B21">
        <v>34.25</v>
      </c>
      <c r="C21">
        <v>2025</v>
      </c>
      <c r="D21">
        <v>1</v>
      </c>
      <c r="E21">
        <v>1</v>
      </c>
      <c r="F21">
        <f>Sayfa1!C21-273.15</f>
        <v>19.081079101562523</v>
      </c>
      <c r="G21">
        <v>30.733596801757813</v>
      </c>
      <c r="H21">
        <f>SQRT(Sayfa1!D21^2+Sayfa1!E21^2)</f>
        <v>1.1407193649462661</v>
      </c>
      <c r="I21">
        <v>0</v>
      </c>
    </row>
    <row r="22" spans="1:9" x14ac:dyDescent="0.3">
      <c r="A22">
        <v>-118.75</v>
      </c>
      <c r="B22">
        <v>34.25</v>
      </c>
      <c r="C22">
        <v>2025</v>
      </c>
      <c r="D22">
        <v>1</v>
      </c>
      <c r="E22">
        <v>1</v>
      </c>
      <c r="F22">
        <f>Sayfa1!C22-273.15</f>
        <v>20.821191406250023</v>
      </c>
      <c r="G22">
        <v>26.636745452880859</v>
      </c>
      <c r="H22">
        <f>SQRT(Sayfa1!D22^2+Sayfa1!E22^2)</f>
        <v>0.46222098770928804</v>
      </c>
      <c r="I22">
        <v>0</v>
      </c>
    </row>
    <row r="23" spans="1:9" x14ac:dyDescent="0.3">
      <c r="A23">
        <v>-118.75</v>
      </c>
      <c r="B23">
        <v>34.25</v>
      </c>
      <c r="C23">
        <v>2025</v>
      </c>
      <c r="D23">
        <v>1</v>
      </c>
      <c r="E23">
        <v>1</v>
      </c>
      <c r="F23">
        <f>Sayfa1!C23-273.15</f>
        <v>21.621484375000023</v>
      </c>
      <c r="G23">
        <v>27.04838752746582</v>
      </c>
      <c r="H23">
        <f>SQRT(Sayfa1!D23^2+Sayfa1!E23^2)</f>
        <v>0.19103004075964361</v>
      </c>
      <c r="I23">
        <v>0</v>
      </c>
    </row>
    <row r="24" spans="1:9" x14ac:dyDescent="0.3">
      <c r="A24">
        <v>-118.75</v>
      </c>
      <c r="B24">
        <v>34.25</v>
      </c>
      <c r="C24">
        <v>2025</v>
      </c>
      <c r="D24">
        <v>1</v>
      </c>
      <c r="E24">
        <v>1</v>
      </c>
      <c r="F24">
        <f>Sayfa1!C24-273.15</f>
        <v>20.205957031250023</v>
      </c>
      <c r="G24">
        <v>33.311901092529297</v>
      </c>
      <c r="H24">
        <f>SQRT(Sayfa1!D24^2+Sayfa1!E24^2)</f>
        <v>0.28364055205646138</v>
      </c>
      <c r="I24">
        <v>0</v>
      </c>
    </row>
    <row r="25" spans="1:9" x14ac:dyDescent="0.3">
      <c r="A25">
        <v>-118.75</v>
      </c>
      <c r="B25">
        <v>34.25</v>
      </c>
      <c r="C25">
        <v>2025</v>
      </c>
      <c r="D25">
        <v>1</v>
      </c>
      <c r="E25">
        <v>1</v>
      </c>
      <c r="F25">
        <f>Sayfa1!C25-273.15</f>
        <v>20.267968750000023</v>
      </c>
      <c r="G25">
        <v>36.592029571533203</v>
      </c>
      <c r="H25">
        <f>SQRT(Sayfa1!D25^2+Sayfa1!E25^2)</f>
        <v>0.91899956303364849</v>
      </c>
      <c r="I25">
        <f>SUM(Sayfa1!G2:G25)</f>
        <v>0</v>
      </c>
    </row>
    <row r="26" spans="1:9" x14ac:dyDescent="0.3">
      <c r="A26">
        <v>-118.75</v>
      </c>
      <c r="B26">
        <v>34.25</v>
      </c>
      <c r="C26">
        <v>2025</v>
      </c>
      <c r="D26">
        <v>1</v>
      </c>
      <c r="E26">
        <v>2</v>
      </c>
      <c r="F26">
        <f>Sayfa1!C26-273.15</f>
        <v>19.811425781250023</v>
      </c>
      <c r="G26">
        <v>45.067276000976563</v>
      </c>
      <c r="H26">
        <f>SQRT(Sayfa1!D26^2+Sayfa1!E26^2)</f>
        <v>1.305810188506231</v>
      </c>
      <c r="I26">
        <f>SUM(Sayfa1!G3:G26)</f>
        <v>0</v>
      </c>
    </row>
    <row r="27" spans="1:9" x14ac:dyDescent="0.3">
      <c r="A27">
        <v>-118.75</v>
      </c>
      <c r="B27">
        <v>34.25</v>
      </c>
      <c r="C27">
        <v>2025</v>
      </c>
      <c r="D27">
        <v>1</v>
      </c>
      <c r="E27">
        <v>2</v>
      </c>
      <c r="F27">
        <f>Sayfa1!C27-273.15</f>
        <v>20.058984375000023</v>
      </c>
      <c r="G27">
        <v>52.879409790039063</v>
      </c>
      <c r="H27">
        <f>SQRT(Sayfa1!D27^2+Sayfa1!E27^2)</f>
        <v>0.82703518007657417</v>
      </c>
      <c r="I27">
        <f>SUM(Sayfa1!G4:G27)</f>
        <v>0</v>
      </c>
    </row>
    <row r="28" spans="1:9" x14ac:dyDescent="0.3">
      <c r="A28">
        <v>-118.75</v>
      </c>
      <c r="B28">
        <v>34.25</v>
      </c>
      <c r="C28">
        <v>2025</v>
      </c>
      <c r="D28">
        <v>1</v>
      </c>
      <c r="E28">
        <v>2</v>
      </c>
      <c r="F28">
        <f>Sayfa1!C28-273.15</f>
        <v>20.549707031250023</v>
      </c>
      <c r="G28">
        <v>54.729400634765625</v>
      </c>
      <c r="H28">
        <f>SQRT(Sayfa1!D28^2+Sayfa1!E28^2)</f>
        <v>0.84974183551763816</v>
      </c>
      <c r="I28">
        <f>SUM(Sayfa1!G5:G28)</f>
        <v>0</v>
      </c>
    </row>
    <row r="29" spans="1:9" x14ac:dyDescent="0.3">
      <c r="A29">
        <v>-118.75</v>
      </c>
      <c r="B29">
        <v>34.25</v>
      </c>
      <c r="C29">
        <v>2025</v>
      </c>
      <c r="D29">
        <v>1</v>
      </c>
      <c r="E29">
        <v>2</v>
      </c>
      <c r="F29">
        <f>Sayfa1!C29-273.15</f>
        <v>20.677514648437523</v>
      </c>
      <c r="G29">
        <v>54.831710815429688</v>
      </c>
      <c r="H29">
        <f>SQRT(Sayfa1!D29^2+Sayfa1!E29^2)</f>
        <v>1.1856529688772526</v>
      </c>
      <c r="I29">
        <f>SUM(Sayfa1!G6:G29)</f>
        <v>0</v>
      </c>
    </row>
    <row r="30" spans="1:9" x14ac:dyDescent="0.3">
      <c r="A30">
        <v>-118.75</v>
      </c>
      <c r="B30">
        <v>34.25</v>
      </c>
      <c r="C30">
        <v>2025</v>
      </c>
      <c r="D30">
        <v>1</v>
      </c>
      <c r="E30">
        <v>2</v>
      </c>
      <c r="F30">
        <f>Sayfa1!C30-273.15</f>
        <v>20.485009765625023</v>
      </c>
      <c r="G30">
        <v>56.36187744140625</v>
      </c>
      <c r="H30">
        <f>SQRT(Sayfa1!D30^2+Sayfa1!E30^2)</f>
        <v>1.538199961311044</v>
      </c>
      <c r="I30">
        <f>SUM(Sayfa1!G7:G30)</f>
        <v>0</v>
      </c>
    </row>
    <row r="31" spans="1:9" x14ac:dyDescent="0.3">
      <c r="A31">
        <v>-118.75</v>
      </c>
      <c r="B31">
        <v>34.25</v>
      </c>
      <c r="C31">
        <v>2025</v>
      </c>
      <c r="D31">
        <v>1</v>
      </c>
      <c r="E31">
        <v>2</v>
      </c>
      <c r="F31">
        <f>Sayfa1!C31-273.15</f>
        <v>20.240014648437523</v>
      </c>
      <c r="G31">
        <v>61.52972412109375</v>
      </c>
      <c r="H31">
        <f>SQRT(Sayfa1!D31^2+Sayfa1!E31^2)</f>
        <v>1.6802378388456851</v>
      </c>
      <c r="I31">
        <f>SUM(Sayfa1!G8:G31)</f>
        <v>0</v>
      </c>
    </row>
    <row r="32" spans="1:9" x14ac:dyDescent="0.3">
      <c r="A32">
        <v>-118.75</v>
      </c>
      <c r="B32">
        <v>34.25</v>
      </c>
      <c r="C32">
        <v>2025</v>
      </c>
      <c r="D32">
        <v>1</v>
      </c>
      <c r="E32">
        <v>2</v>
      </c>
      <c r="F32">
        <f>Sayfa1!C32-273.15</f>
        <v>19.969018554687523</v>
      </c>
      <c r="G32">
        <v>68.349746704101563</v>
      </c>
      <c r="H32">
        <f>SQRT(Sayfa1!D32^2+Sayfa1!E32^2)</f>
        <v>1.7896839183394693</v>
      </c>
      <c r="I32">
        <f>SUM(Sayfa1!G9:G32)</f>
        <v>0</v>
      </c>
    </row>
    <row r="33" spans="1:9" x14ac:dyDescent="0.3">
      <c r="A33">
        <v>-118.75</v>
      </c>
      <c r="B33">
        <v>34.25</v>
      </c>
      <c r="C33">
        <v>2025</v>
      </c>
      <c r="D33">
        <v>1</v>
      </c>
      <c r="E33">
        <v>2</v>
      </c>
      <c r="F33">
        <f>Sayfa1!C33-273.15</f>
        <v>19.966455078125023</v>
      </c>
      <c r="G33">
        <v>73.393997192382813</v>
      </c>
      <c r="H33">
        <f>SQRT(Sayfa1!D33^2+Sayfa1!E33^2)</f>
        <v>1.905819802140698</v>
      </c>
      <c r="I33">
        <f>SUM(Sayfa1!G10:G33)</f>
        <v>0</v>
      </c>
    </row>
    <row r="34" spans="1:9" x14ac:dyDescent="0.3">
      <c r="A34">
        <v>-118.75</v>
      </c>
      <c r="B34">
        <v>34.25</v>
      </c>
      <c r="C34">
        <v>2025</v>
      </c>
      <c r="D34">
        <v>1</v>
      </c>
      <c r="E34">
        <v>2</v>
      </c>
      <c r="F34">
        <f>Sayfa1!C34-273.15</f>
        <v>20.112695312500023</v>
      </c>
      <c r="G34">
        <v>75.958847045898438</v>
      </c>
      <c r="H34">
        <f>SQRT(Sayfa1!D34^2+Sayfa1!E34^2)</f>
        <v>1.9877613637764118</v>
      </c>
      <c r="I34">
        <f>SUM(Sayfa1!G11:G34)</f>
        <v>0</v>
      </c>
    </row>
    <row r="35" spans="1:9" x14ac:dyDescent="0.3">
      <c r="A35">
        <v>-118.75</v>
      </c>
      <c r="B35">
        <v>34.25</v>
      </c>
      <c r="C35">
        <v>2025</v>
      </c>
      <c r="D35">
        <v>1</v>
      </c>
      <c r="E35">
        <v>2</v>
      </c>
      <c r="F35">
        <f>Sayfa1!C35-273.15</f>
        <v>20.156884765625023</v>
      </c>
      <c r="G35">
        <v>75.751663208007813</v>
      </c>
      <c r="H35">
        <f>SQRT(Sayfa1!D35^2+Sayfa1!E35^2)</f>
        <v>2.0212508567169696</v>
      </c>
      <c r="I35">
        <f>SUM(Sayfa1!G12:G35)</f>
        <v>0</v>
      </c>
    </row>
    <row r="36" spans="1:9" x14ac:dyDescent="0.3">
      <c r="A36">
        <v>-118.75</v>
      </c>
      <c r="B36">
        <v>34.25</v>
      </c>
      <c r="C36">
        <v>2025</v>
      </c>
      <c r="D36">
        <v>1</v>
      </c>
      <c r="E36">
        <v>2</v>
      </c>
      <c r="F36">
        <f>Sayfa1!C36-273.15</f>
        <v>19.379052734375023</v>
      </c>
      <c r="G36">
        <v>68.223724365234375</v>
      </c>
      <c r="H36">
        <f>SQRT(Sayfa1!D36^2+Sayfa1!E36^2)</f>
        <v>2.3585770861665472</v>
      </c>
      <c r="I36">
        <f>SUM(Sayfa1!G13:G36)</f>
        <v>0</v>
      </c>
    </row>
    <row r="37" spans="1:9" x14ac:dyDescent="0.3">
      <c r="A37">
        <v>-118.75</v>
      </c>
      <c r="B37">
        <v>34.25</v>
      </c>
      <c r="C37">
        <v>2025</v>
      </c>
      <c r="D37">
        <v>1</v>
      </c>
      <c r="E37">
        <v>2</v>
      </c>
      <c r="F37">
        <f>Sayfa1!C37-273.15</f>
        <v>19.282373046875023</v>
      </c>
      <c r="G37">
        <v>66.40289306640625</v>
      </c>
      <c r="H37">
        <f>SQRT(Sayfa1!D37^2+Sayfa1!E37^2)</f>
        <v>2.4672348146891268</v>
      </c>
      <c r="I37">
        <f>SUM(Sayfa1!G14:G37)</f>
        <v>0</v>
      </c>
    </row>
    <row r="38" spans="1:9" x14ac:dyDescent="0.3">
      <c r="A38">
        <v>-118.75</v>
      </c>
      <c r="B38">
        <v>34.25</v>
      </c>
      <c r="C38">
        <v>2025</v>
      </c>
      <c r="D38">
        <v>1</v>
      </c>
      <c r="E38">
        <v>2</v>
      </c>
      <c r="F38">
        <f>Sayfa1!C38-273.15</f>
        <v>19.113671875000023</v>
      </c>
      <c r="G38">
        <v>67.258926391601563</v>
      </c>
      <c r="H38">
        <f>SQRT(Sayfa1!D38^2+Sayfa1!E38^2)</f>
        <v>2.5413542613662634</v>
      </c>
      <c r="I38">
        <f>SUM(Sayfa1!G15:G38)</f>
        <v>0</v>
      </c>
    </row>
    <row r="39" spans="1:9" x14ac:dyDescent="0.3">
      <c r="A39">
        <v>-118.75</v>
      </c>
      <c r="B39">
        <v>34.25</v>
      </c>
      <c r="C39">
        <v>2025</v>
      </c>
      <c r="D39">
        <v>1</v>
      </c>
      <c r="E39">
        <v>2</v>
      </c>
      <c r="F39">
        <f>Sayfa1!C39-273.15</f>
        <v>18.844262695312523</v>
      </c>
      <c r="G39">
        <v>67.792266845703125</v>
      </c>
      <c r="H39">
        <f>SQRT(Sayfa1!D39^2+Sayfa1!E39^2)</f>
        <v>2.6678888503044753</v>
      </c>
      <c r="I39">
        <f>SUM(Sayfa1!G16:G39)</f>
        <v>0</v>
      </c>
    </row>
    <row r="40" spans="1:9" x14ac:dyDescent="0.3">
      <c r="A40">
        <v>-118.75</v>
      </c>
      <c r="B40">
        <v>34.25</v>
      </c>
      <c r="C40">
        <v>2025</v>
      </c>
      <c r="D40">
        <v>1</v>
      </c>
      <c r="E40">
        <v>2</v>
      </c>
      <c r="F40">
        <f>Sayfa1!C40-273.15</f>
        <v>19.021997070312523</v>
      </c>
      <c r="G40">
        <v>64.491546630859375</v>
      </c>
      <c r="H40">
        <f>SQRT(Sayfa1!D40^2+Sayfa1!E40^2)</f>
        <v>2.7877169398710513</v>
      </c>
      <c r="I40">
        <f>SUM(Sayfa1!G17:G40)</f>
        <v>0</v>
      </c>
    </row>
    <row r="41" spans="1:9" x14ac:dyDescent="0.3">
      <c r="A41">
        <v>-118.75</v>
      </c>
      <c r="B41">
        <v>34.25</v>
      </c>
      <c r="C41">
        <v>2025</v>
      </c>
      <c r="D41">
        <v>1</v>
      </c>
      <c r="E41">
        <v>2</v>
      </c>
      <c r="F41">
        <f>Sayfa1!C41-273.15</f>
        <v>19.092919921875023</v>
      </c>
      <c r="G41">
        <v>61.392120361328125</v>
      </c>
      <c r="H41">
        <f>SQRT(Sayfa1!D41^2+Sayfa1!E41^2)</f>
        <v>2.850959351925987</v>
      </c>
      <c r="I41">
        <f>SUM(Sayfa1!G18:G41)</f>
        <v>0</v>
      </c>
    </row>
    <row r="42" spans="1:9" x14ac:dyDescent="0.3">
      <c r="A42">
        <v>-118.75</v>
      </c>
      <c r="B42">
        <v>34.25</v>
      </c>
      <c r="C42">
        <v>2025</v>
      </c>
      <c r="D42">
        <v>1</v>
      </c>
      <c r="E42">
        <v>2</v>
      </c>
      <c r="F42">
        <f>Sayfa1!C42-273.15</f>
        <v>19.264672851562523</v>
      </c>
      <c r="G42">
        <v>56.662277221679688</v>
      </c>
      <c r="H42">
        <f>SQRT(Sayfa1!D42^2+Sayfa1!E42^2)</f>
        <v>2.6244877306263299</v>
      </c>
      <c r="I42">
        <f>SUM(Sayfa1!G19:G42)</f>
        <v>0</v>
      </c>
    </row>
    <row r="43" spans="1:9" x14ac:dyDescent="0.3">
      <c r="A43">
        <v>-118.75</v>
      </c>
      <c r="B43">
        <v>34.25</v>
      </c>
      <c r="C43">
        <v>2025</v>
      </c>
      <c r="D43">
        <v>1</v>
      </c>
      <c r="E43">
        <v>2</v>
      </c>
      <c r="F43">
        <f>Sayfa1!C43-273.15</f>
        <v>19.465356445312523</v>
      </c>
      <c r="G43">
        <v>50.398540496826172</v>
      </c>
      <c r="H43">
        <f>SQRT(Sayfa1!D43^2+Sayfa1!E43^2)</f>
        <v>2.2427323235303138</v>
      </c>
      <c r="I43">
        <f>SUM(Sayfa1!G20:G43)</f>
        <v>0</v>
      </c>
    </row>
    <row r="44" spans="1:9" x14ac:dyDescent="0.3">
      <c r="A44">
        <v>-118.75</v>
      </c>
      <c r="B44">
        <v>34.25</v>
      </c>
      <c r="C44">
        <v>2025</v>
      </c>
      <c r="D44">
        <v>1</v>
      </c>
      <c r="E44">
        <v>2</v>
      </c>
      <c r="F44">
        <f>Sayfa1!C44-273.15</f>
        <v>19.603051757812523</v>
      </c>
      <c r="G44">
        <v>39.365829467773438</v>
      </c>
      <c r="H44">
        <f>SQRT(Sayfa1!D44^2+Sayfa1!E44^2)</f>
        <v>2.1078937595380074</v>
      </c>
      <c r="I44">
        <f>SUM(Sayfa1!G21:G44)</f>
        <v>0</v>
      </c>
    </row>
    <row r="45" spans="1:9" x14ac:dyDescent="0.3">
      <c r="A45">
        <v>-118.75</v>
      </c>
      <c r="B45">
        <v>34.25</v>
      </c>
      <c r="C45">
        <v>2025</v>
      </c>
      <c r="D45">
        <v>1</v>
      </c>
      <c r="E45">
        <v>2</v>
      </c>
      <c r="F45">
        <f>Sayfa1!C45-273.15</f>
        <v>20.727685546875023</v>
      </c>
      <c r="G45">
        <v>28.929256439208984</v>
      </c>
      <c r="H45">
        <f>SQRT(Sayfa1!D45^2+Sayfa1!E45^2)</f>
        <v>2.1419770242268767</v>
      </c>
      <c r="I45">
        <f>SUM(Sayfa1!G22:G45)</f>
        <v>0</v>
      </c>
    </row>
    <row r="46" spans="1:9" x14ac:dyDescent="0.3">
      <c r="A46">
        <v>-118.75</v>
      </c>
      <c r="B46">
        <v>34.25</v>
      </c>
      <c r="C46">
        <v>2025</v>
      </c>
      <c r="D46">
        <v>1</v>
      </c>
      <c r="E46">
        <v>2</v>
      </c>
      <c r="F46">
        <f>Sayfa1!C46-273.15</f>
        <v>22.521264648437523</v>
      </c>
      <c r="G46">
        <v>22.666337966918945</v>
      </c>
      <c r="H46">
        <f>SQRT(Sayfa1!D46^2+Sayfa1!E46^2)</f>
        <v>1.9621560032177086</v>
      </c>
      <c r="I46">
        <f>SUM(Sayfa1!G23:G46)</f>
        <v>0</v>
      </c>
    </row>
    <row r="47" spans="1:9" x14ac:dyDescent="0.3">
      <c r="A47">
        <v>-118.75</v>
      </c>
      <c r="B47">
        <v>34.25</v>
      </c>
      <c r="C47">
        <v>2025</v>
      </c>
      <c r="D47">
        <v>1</v>
      </c>
      <c r="E47">
        <v>2</v>
      </c>
      <c r="F47">
        <f>Sayfa1!C47-273.15</f>
        <v>23.600244140625023</v>
      </c>
      <c r="G47">
        <v>19.799871444702148</v>
      </c>
      <c r="H47">
        <f>SQRT(Sayfa1!D47^2+Sayfa1!E47^2)</f>
        <v>1.7487897957152889</v>
      </c>
      <c r="I47">
        <f>SUM(Sayfa1!G24:G47)</f>
        <v>0</v>
      </c>
    </row>
    <row r="48" spans="1:9" x14ac:dyDescent="0.3">
      <c r="A48">
        <v>-118.75</v>
      </c>
      <c r="B48">
        <v>34.25</v>
      </c>
      <c r="C48">
        <v>2025</v>
      </c>
      <c r="D48">
        <v>1</v>
      </c>
      <c r="E48">
        <v>2</v>
      </c>
      <c r="F48">
        <f>Sayfa1!C48-273.15</f>
        <v>23.509667968750023</v>
      </c>
      <c r="G48">
        <v>23.044744491577148</v>
      </c>
      <c r="H48">
        <f>SQRT(Sayfa1!D48^2+Sayfa1!E48^2)</f>
        <v>1.1196411077455908</v>
      </c>
      <c r="I48">
        <f>SUM(Sayfa1!G25:G48)</f>
        <v>0</v>
      </c>
    </row>
    <row r="49" spans="1:9" x14ac:dyDescent="0.3">
      <c r="A49">
        <v>-118.75</v>
      </c>
      <c r="B49">
        <v>34.25</v>
      </c>
      <c r="C49">
        <v>2025</v>
      </c>
      <c r="D49">
        <v>1</v>
      </c>
      <c r="E49">
        <v>2</v>
      </c>
      <c r="F49">
        <f>Sayfa1!C49-273.15</f>
        <v>23.582421875000023</v>
      </c>
      <c r="G49">
        <v>25.384378433227539</v>
      </c>
      <c r="H49">
        <f>SQRT(Sayfa1!D49^2+Sayfa1!E49^2)</f>
        <v>0.62750923628737021</v>
      </c>
      <c r="I49">
        <f>SUM(Sayfa1!G26:G49)</f>
        <v>0</v>
      </c>
    </row>
    <row r="50" spans="1:9" x14ac:dyDescent="0.3">
      <c r="A50">
        <v>-118.75</v>
      </c>
      <c r="B50">
        <v>34.25</v>
      </c>
      <c r="C50">
        <v>2025</v>
      </c>
      <c r="D50">
        <v>1</v>
      </c>
      <c r="E50">
        <v>3</v>
      </c>
      <c r="F50">
        <f>Sayfa1!C50-273.15</f>
        <v>23.290063476562523</v>
      </c>
      <c r="G50">
        <v>36.025543212890625</v>
      </c>
      <c r="H50">
        <f>SQRT(Sayfa1!D50^2+Sayfa1!E50^2)</f>
        <v>0.47199603271883345</v>
      </c>
      <c r="I50">
        <f>SUM(Sayfa1!G27:G50)</f>
        <v>0</v>
      </c>
    </row>
    <row r="51" spans="1:9" x14ac:dyDescent="0.3">
      <c r="A51">
        <v>-118.75</v>
      </c>
      <c r="B51">
        <v>34.25</v>
      </c>
      <c r="C51">
        <v>2025</v>
      </c>
      <c r="D51">
        <v>1</v>
      </c>
      <c r="E51">
        <v>3</v>
      </c>
      <c r="F51">
        <f>Sayfa1!C51-273.15</f>
        <v>22.774926757812523</v>
      </c>
      <c r="G51">
        <v>41.944778442382813</v>
      </c>
      <c r="H51">
        <f>SQRT(Sayfa1!D51^2+Sayfa1!E51^2)</f>
        <v>1.0444055699953279</v>
      </c>
      <c r="I51">
        <f>SUM(Sayfa1!G28:G51)</f>
        <v>0</v>
      </c>
    </row>
    <row r="52" spans="1:9" x14ac:dyDescent="0.3">
      <c r="A52">
        <v>-118.75</v>
      </c>
      <c r="B52">
        <v>34.25</v>
      </c>
      <c r="C52">
        <v>2025</v>
      </c>
      <c r="D52">
        <v>1</v>
      </c>
      <c r="E52">
        <v>3</v>
      </c>
      <c r="F52">
        <f>Sayfa1!C52-273.15</f>
        <v>22.222070312500023</v>
      </c>
      <c r="G52">
        <v>45.527130126953125</v>
      </c>
      <c r="H52">
        <f>SQRT(Sayfa1!D52^2+Sayfa1!E52^2)</f>
        <v>1.6006845990205101</v>
      </c>
      <c r="I52">
        <f>SUM(Sayfa1!G29:G52)</f>
        <v>0</v>
      </c>
    </row>
    <row r="53" spans="1:9" x14ac:dyDescent="0.3">
      <c r="A53">
        <v>-118.75</v>
      </c>
      <c r="B53">
        <v>34.25</v>
      </c>
      <c r="C53">
        <v>2025</v>
      </c>
      <c r="D53">
        <v>1</v>
      </c>
      <c r="E53">
        <v>3</v>
      </c>
      <c r="F53">
        <f>Sayfa1!C53-273.15</f>
        <v>21.766503906250023</v>
      </c>
      <c r="G53">
        <v>47.280059814453125</v>
      </c>
      <c r="H53">
        <f>SQRT(Sayfa1!D53^2+Sayfa1!E53^2)</f>
        <v>1.9065041803136429</v>
      </c>
      <c r="I53">
        <f>SUM(Sayfa1!G30:G53)</f>
        <v>0</v>
      </c>
    </row>
    <row r="54" spans="1:9" x14ac:dyDescent="0.3">
      <c r="A54">
        <v>-118.75</v>
      </c>
      <c r="B54">
        <v>34.25</v>
      </c>
      <c r="C54">
        <v>2025</v>
      </c>
      <c r="D54">
        <v>1</v>
      </c>
      <c r="E54">
        <v>3</v>
      </c>
      <c r="F54">
        <f>Sayfa1!C54-273.15</f>
        <v>21.318383789062523</v>
      </c>
      <c r="G54">
        <v>49.301651000976563</v>
      </c>
      <c r="H54">
        <f>SQRT(Sayfa1!D54^2+Sayfa1!E54^2)</f>
        <v>2.0890564338454953</v>
      </c>
      <c r="I54">
        <f>SUM(Sayfa1!G31:G54)</f>
        <v>0</v>
      </c>
    </row>
    <row r="55" spans="1:9" x14ac:dyDescent="0.3">
      <c r="A55">
        <v>-118.75</v>
      </c>
      <c r="B55">
        <v>34.25</v>
      </c>
      <c r="C55">
        <v>2025</v>
      </c>
      <c r="D55">
        <v>1</v>
      </c>
      <c r="E55">
        <v>3</v>
      </c>
      <c r="F55">
        <f>Sayfa1!C55-273.15</f>
        <v>20.875634765625023</v>
      </c>
      <c r="G55">
        <v>51.776351928710938</v>
      </c>
      <c r="H55">
        <f>SQRT(Sayfa1!D55^2+Sayfa1!E55^2)</f>
        <v>2.227209985119778</v>
      </c>
      <c r="I55">
        <f>SUM(Sayfa1!G32:G55)</f>
        <v>0</v>
      </c>
    </row>
    <row r="56" spans="1:9" x14ac:dyDescent="0.3">
      <c r="A56">
        <v>-118.75</v>
      </c>
      <c r="B56">
        <v>34.25</v>
      </c>
      <c r="C56">
        <v>2025</v>
      </c>
      <c r="D56">
        <v>1</v>
      </c>
      <c r="E56">
        <v>3</v>
      </c>
      <c r="F56">
        <f>Sayfa1!C56-273.15</f>
        <v>20.480371093750023</v>
      </c>
      <c r="G56">
        <v>51.71142578125</v>
      </c>
      <c r="H56">
        <f>SQRT(Sayfa1!D56^2+Sayfa1!E56^2)</f>
        <v>2.1528296108863847</v>
      </c>
      <c r="I56">
        <f>SUM(Sayfa1!G33:G56)</f>
        <v>0</v>
      </c>
    </row>
    <row r="57" spans="1:9" x14ac:dyDescent="0.3">
      <c r="A57">
        <v>-118.75</v>
      </c>
      <c r="B57">
        <v>34.25</v>
      </c>
      <c r="C57">
        <v>2025</v>
      </c>
      <c r="D57">
        <v>1</v>
      </c>
      <c r="E57">
        <v>3</v>
      </c>
      <c r="F57">
        <f>Sayfa1!C57-273.15</f>
        <v>20.112329101562523</v>
      </c>
      <c r="G57">
        <v>50.043380737304688</v>
      </c>
      <c r="H57">
        <f>SQRT(Sayfa1!D57^2+Sayfa1!E57^2)</f>
        <v>2.0604297065077648</v>
      </c>
      <c r="I57">
        <f>SUM(Sayfa1!G34:G57)</f>
        <v>0</v>
      </c>
    </row>
    <row r="58" spans="1:9" x14ac:dyDescent="0.3">
      <c r="A58">
        <v>-118.75</v>
      </c>
      <c r="B58">
        <v>34.25</v>
      </c>
      <c r="C58">
        <v>2025</v>
      </c>
      <c r="D58">
        <v>1</v>
      </c>
      <c r="E58">
        <v>3</v>
      </c>
      <c r="F58">
        <f>Sayfa1!C58-273.15</f>
        <v>19.859033203125023</v>
      </c>
      <c r="G58">
        <v>50.728408813476563</v>
      </c>
      <c r="H58">
        <f>SQRT(Sayfa1!D58^2+Sayfa1!E58^2)</f>
        <v>1.9932178866657251</v>
      </c>
      <c r="I58">
        <f>SUM(Sayfa1!G35:G58)</f>
        <v>0</v>
      </c>
    </row>
    <row r="59" spans="1:9" x14ac:dyDescent="0.3">
      <c r="A59">
        <v>-118.75</v>
      </c>
      <c r="B59">
        <v>34.25</v>
      </c>
      <c r="C59">
        <v>2025</v>
      </c>
      <c r="D59">
        <v>1</v>
      </c>
      <c r="E59">
        <v>3</v>
      </c>
      <c r="F59">
        <f>Sayfa1!C59-273.15</f>
        <v>19.637841796875023</v>
      </c>
      <c r="G59">
        <v>53.0079345703125</v>
      </c>
      <c r="H59">
        <f>SQRT(Sayfa1!D59^2+Sayfa1!E59^2)</f>
        <v>1.945309145201142</v>
      </c>
      <c r="I59">
        <f>SUM(Sayfa1!G36:G59)</f>
        <v>0</v>
      </c>
    </row>
    <row r="60" spans="1:9" x14ac:dyDescent="0.3">
      <c r="A60">
        <v>-118.75</v>
      </c>
      <c r="B60">
        <v>34.25</v>
      </c>
      <c r="C60">
        <v>2025</v>
      </c>
      <c r="D60">
        <v>1</v>
      </c>
      <c r="E60">
        <v>3</v>
      </c>
      <c r="F60">
        <f>Sayfa1!C60-273.15</f>
        <v>18.954003906250023</v>
      </c>
      <c r="G60">
        <v>54.072723388671875</v>
      </c>
      <c r="H60">
        <f>SQRT(Sayfa1!D60^2+Sayfa1!E60^2)</f>
        <v>1.8481119685913758</v>
      </c>
      <c r="I60">
        <f>SUM(Sayfa1!G37:G60)</f>
        <v>0</v>
      </c>
    </row>
    <row r="61" spans="1:9" x14ac:dyDescent="0.3">
      <c r="A61">
        <v>-118.75</v>
      </c>
      <c r="B61">
        <v>34.25</v>
      </c>
      <c r="C61">
        <v>2025</v>
      </c>
      <c r="D61">
        <v>1</v>
      </c>
      <c r="E61">
        <v>3</v>
      </c>
      <c r="F61">
        <f>Sayfa1!C61-273.15</f>
        <v>19.143457031250023</v>
      </c>
      <c r="G61">
        <v>57.600616455078125</v>
      </c>
      <c r="H61">
        <f>SQRT(Sayfa1!D61^2+Sayfa1!E61^2)</f>
        <v>1.8452345261428775</v>
      </c>
      <c r="I61">
        <f>SUM(Sayfa1!G38:G61)</f>
        <v>0</v>
      </c>
    </row>
    <row r="62" spans="1:9" x14ac:dyDescent="0.3">
      <c r="A62">
        <v>-118.75</v>
      </c>
      <c r="B62">
        <v>34.25</v>
      </c>
      <c r="C62">
        <v>2025</v>
      </c>
      <c r="D62">
        <v>1</v>
      </c>
      <c r="E62">
        <v>3</v>
      </c>
      <c r="F62">
        <f>Sayfa1!C62-273.15</f>
        <v>19.025537109375023</v>
      </c>
      <c r="G62">
        <v>61.537872314453125</v>
      </c>
      <c r="H62">
        <f>SQRT(Sayfa1!D62^2+Sayfa1!E62^2)</f>
        <v>1.8681027373185524</v>
      </c>
      <c r="I62">
        <f>SUM(Sayfa1!G39:G62)</f>
        <v>0</v>
      </c>
    </row>
    <row r="63" spans="1:9" x14ac:dyDescent="0.3">
      <c r="A63">
        <v>-118.75</v>
      </c>
      <c r="B63">
        <v>34.25</v>
      </c>
      <c r="C63">
        <v>2025</v>
      </c>
      <c r="D63">
        <v>1</v>
      </c>
      <c r="E63">
        <v>3</v>
      </c>
      <c r="F63">
        <f>Sayfa1!C63-273.15</f>
        <v>18.888574218750023</v>
      </c>
      <c r="G63">
        <v>65.640167236328125</v>
      </c>
      <c r="H63">
        <f>SQRT(Sayfa1!D63^2+Sayfa1!E63^2)</f>
        <v>1.924356921192232</v>
      </c>
      <c r="I63">
        <f>SUM(Sayfa1!G40:G63)</f>
        <v>0</v>
      </c>
    </row>
    <row r="64" spans="1:9" x14ac:dyDescent="0.3">
      <c r="A64">
        <v>-118.75</v>
      </c>
      <c r="B64">
        <v>34.25</v>
      </c>
      <c r="C64">
        <v>2025</v>
      </c>
      <c r="D64">
        <v>1</v>
      </c>
      <c r="E64">
        <v>3</v>
      </c>
      <c r="F64">
        <f>Sayfa1!C64-273.15</f>
        <v>18.594628906250023</v>
      </c>
      <c r="G64">
        <v>68.126266479492188</v>
      </c>
      <c r="H64">
        <f>SQRT(Sayfa1!D64^2+Sayfa1!E64^2)</f>
        <v>1.8597885857567689</v>
      </c>
      <c r="I64">
        <f>SUM(Sayfa1!G41:G64)</f>
        <v>0</v>
      </c>
    </row>
    <row r="65" spans="1:9" x14ac:dyDescent="0.3">
      <c r="A65">
        <v>-118.75</v>
      </c>
      <c r="B65">
        <v>34.25</v>
      </c>
      <c r="C65">
        <v>2025</v>
      </c>
      <c r="D65">
        <v>1</v>
      </c>
      <c r="E65">
        <v>3</v>
      </c>
      <c r="F65">
        <f>Sayfa1!C65-273.15</f>
        <v>18.143212890625023</v>
      </c>
      <c r="G65">
        <v>69.053627014160156</v>
      </c>
      <c r="H65">
        <f>SQRT(Sayfa1!D65^2+Sayfa1!E65^2)</f>
        <v>1.7493658953241213</v>
      </c>
      <c r="I65">
        <f>SUM(Sayfa1!G42:G65)</f>
        <v>0</v>
      </c>
    </row>
    <row r="66" spans="1:9" x14ac:dyDescent="0.3">
      <c r="A66">
        <v>-118.75</v>
      </c>
      <c r="B66">
        <v>34.25</v>
      </c>
      <c r="C66">
        <v>2025</v>
      </c>
      <c r="D66">
        <v>1</v>
      </c>
      <c r="E66">
        <v>3</v>
      </c>
      <c r="F66">
        <f>Sayfa1!C66-273.15</f>
        <v>17.880517578125023</v>
      </c>
      <c r="G66">
        <v>68.156791687011719</v>
      </c>
      <c r="H66">
        <f>SQRT(Sayfa1!D66^2+Sayfa1!E66^2)</f>
        <v>1.475596583774214</v>
      </c>
      <c r="I66">
        <f>SUM(Sayfa1!G43:G66)</f>
        <v>0</v>
      </c>
    </row>
    <row r="67" spans="1:9" x14ac:dyDescent="0.3">
      <c r="A67">
        <v>-118.75</v>
      </c>
      <c r="B67">
        <v>34.25</v>
      </c>
      <c r="C67">
        <v>2025</v>
      </c>
      <c r="D67">
        <v>1</v>
      </c>
      <c r="E67">
        <v>3</v>
      </c>
      <c r="F67">
        <f>Sayfa1!C67-273.15</f>
        <v>17.637109375000023</v>
      </c>
      <c r="G67">
        <v>59.448207855224609</v>
      </c>
      <c r="H67">
        <f>SQRT(Sayfa1!D67^2+Sayfa1!E67^2)</f>
        <v>0.92966361989378354</v>
      </c>
      <c r="I67">
        <f>SUM(Sayfa1!G44:G67)</f>
        <v>0</v>
      </c>
    </row>
    <row r="68" spans="1:9" x14ac:dyDescent="0.3">
      <c r="A68">
        <v>-118.75</v>
      </c>
      <c r="B68">
        <v>34.25</v>
      </c>
      <c r="C68">
        <v>2025</v>
      </c>
      <c r="D68">
        <v>1</v>
      </c>
      <c r="E68">
        <v>3</v>
      </c>
      <c r="F68">
        <f>Sayfa1!C68-273.15</f>
        <v>17.140039062500023</v>
      </c>
      <c r="G68">
        <v>45.902046203613281</v>
      </c>
      <c r="H68">
        <f>SQRT(Sayfa1!D68^2+Sayfa1!E68^2)</f>
        <v>6.1924347188759665E-2</v>
      </c>
      <c r="I68">
        <f>SUM(Sayfa1!G45:G68)</f>
        <v>0</v>
      </c>
    </row>
    <row r="69" spans="1:9" x14ac:dyDescent="0.3">
      <c r="A69">
        <v>-118.75</v>
      </c>
      <c r="B69">
        <v>34.25</v>
      </c>
      <c r="C69">
        <v>2025</v>
      </c>
      <c r="D69">
        <v>1</v>
      </c>
      <c r="E69">
        <v>3</v>
      </c>
      <c r="F69">
        <f>Sayfa1!C69-273.15</f>
        <v>16.998925781250023</v>
      </c>
      <c r="G69">
        <v>35.659786224365234</v>
      </c>
      <c r="H69">
        <f>SQRT(Sayfa1!D69^2+Sayfa1!E69^2)</f>
        <v>0.94330701944337458</v>
      </c>
      <c r="I69">
        <f>SUM(Sayfa1!G46:G69)</f>
        <v>0</v>
      </c>
    </row>
    <row r="70" spans="1:9" x14ac:dyDescent="0.3">
      <c r="A70">
        <v>-118.75</v>
      </c>
      <c r="B70">
        <v>34.25</v>
      </c>
      <c r="C70">
        <v>2025</v>
      </c>
      <c r="D70">
        <v>1</v>
      </c>
      <c r="E70">
        <v>3</v>
      </c>
      <c r="F70">
        <f>Sayfa1!C70-273.15</f>
        <v>17.315087890625023</v>
      </c>
      <c r="G70">
        <v>39.5758056640625</v>
      </c>
      <c r="H70">
        <f>SQRT(Sayfa1!D70^2+Sayfa1!E70^2)</f>
        <v>1.7148480769658949</v>
      </c>
      <c r="I70">
        <f>SUM(Sayfa1!G47:G70)</f>
        <v>0</v>
      </c>
    </row>
    <row r="71" spans="1:9" x14ac:dyDescent="0.3">
      <c r="A71">
        <v>-118.75</v>
      </c>
      <c r="B71">
        <v>34.25</v>
      </c>
      <c r="C71">
        <v>2025</v>
      </c>
      <c r="D71">
        <v>1</v>
      </c>
      <c r="E71">
        <v>3</v>
      </c>
      <c r="F71">
        <f>Sayfa1!C71-273.15</f>
        <v>17.677148437500023</v>
      </c>
      <c r="G71">
        <v>40.854377746582031</v>
      </c>
      <c r="H71">
        <f>SQRT(Sayfa1!D71^2+Sayfa1!E71^2)</f>
        <v>1.3434256804926661</v>
      </c>
      <c r="I71">
        <f>SUM(Sayfa1!G48:G71)</f>
        <v>0</v>
      </c>
    </row>
    <row r="72" spans="1:9" x14ac:dyDescent="0.3">
      <c r="A72">
        <v>-118.75</v>
      </c>
      <c r="B72">
        <v>34.25</v>
      </c>
      <c r="C72">
        <v>2025</v>
      </c>
      <c r="D72">
        <v>1</v>
      </c>
      <c r="E72">
        <v>3</v>
      </c>
      <c r="F72">
        <f>Sayfa1!C72-273.15</f>
        <v>17.887841796875023</v>
      </c>
      <c r="G72">
        <v>46.278457641601563</v>
      </c>
      <c r="H72">
        <f>SQRT(Sayfa1!D72^2+Sayfa1!E72^2)</f>
        <v>1.7774009591238231</v>
      </c>
      <c r="I72">
        <f>SUM(Sayfa1!G49:G72)</f>
        <v>0</v>
      </c>
    </row>
    <row r="73" spans="1:9" x14ac:dyDescent="0.3">
      <c r="A73">
        <v>-118.75</v>
      </c>
      <c r="B73">
        <v>34.25</v>
      </c>
      <c r="C73">
        <v>2025</v>
      </c>
      <c r="D73">
        <v>1</v>
      </c>
      <c r="E73">
        <v>3</v>
      </c>
      <c r="F73">
        <f>Sayfa1!C73-273.15</f>
        <v>18.157373046875023</v>
      </c>
      <c r="G73">
        <v>46.960693359375</v>
      </c>
      <c r="H73">
        <f>SQRT(Sayfa1!D73^2+Sayfa1!E73^2)</f>
        <v>2.0327769759535568</v>
      </c>
      <c r="I73">
        <f>SUM(Sayfa1!G50:G73)</f>
        <v>0</v>
      </c>
    </row>
    <row r="74" spans="1:9" x14ac:dyDescent="0.3">
      <c r="A74">
        <v>-118.75</v>
      </c>
      <c r="B74">
        <v>34.25</v>
      </c>
      <c r="C74">
        <v>2025</v>
      </c>
      <c r="D74">
        <v>1</v>
      </c>
      <c r="E74">
        <v>4</v>
      </c>
      <c r="F74">
        <f>Sayfa1!C74-273.15</f>
        <v>17.287255859375023</v>
      </c>
      <c r="G74">
        <v>55.865692138671875</v>
      </c>
      <c r="H74">
        <f>SQRT(Sayfa1!D74^2+Sayfa1!E74^2)</f>
        <v>1.8668448921187684</v>
      </c>
      <c r="I74">
        <f>SUM(Sayfa1!G51:G74)</f>
        <v>0</v>
      </c>
    </row>
    <row r="75" spans="1:9" x14ac:dyDescent="0.3">
      <c r="A75">
        <v>-118.75</v>
      </c>
      <c r="B75">
        <v>34.25</v>
      </c>
      <c r="C75">
        <v>2025</v>
      </c>
      <c r="D75">
        <v>1</v>
      </c>
      <c r="E75">
        <v>4</v>
      </c>
      <c r="F75">
        <f>Sayfa1!C75-273.15</f>
        <v>15.320458984375023</v>
      </c>
      <c r="G75">
        <v>73.82757568359375</v>
      </c>
      <c r="H75">
        <f>SQRT(Sayfa1!D75^2+Sayfa1!E75^2)</f>
        <v>2.3459319887230543</v>
      </c>
      <c r="I75">
        <f>SUM(Sayfa1!G52:G75)</f>
        <v>0</v>
      </c>
    </row>
    <row r="76" spans="1:9" x14ac:dyDescent="0.3">
      <c r="A76">
        <v>-118.75</v>
      </c>
      <c r="B76">
        <v>34.25</v>
      </c>
      <c r="C76">
        <v>2025</v>
      </c>
      <c r="D76">
        <v>1</v>
      </c>
      <c r="E76">
        <v>4</v>
      </c>
      <c r="F76">
        <f>Sayfa1!C76-273.15</f>
        <v>14.041528320312523</v>
      </c>
      <c r="G76">
        <v>86.664718627929688</v>
      </c>
      <c r="H76">
        <f>SQRT(Sayfa1!D76^2+Sayfa1!E76^2)</f>
        <v>1.4981652845445044</v>
      </c>
      <c r="I76">
        <f>SUM(Sayfa1!G53:G76)</f>
        <v>0</v>
      </c>
    </row>
    <row r="77" spans="1:9" x14ac:dyDescent="0.3">
      <c r="A77">
        <v>-118.75</v>
      </c>
      <c r="B77">
        <v>34.25</v>
      </c>
      <c r="C77">
        <v>2025</v>
      </c>
      <c r="D77">
        <v>1</v>
      </c>
      <c r="E77">
        <v>4</v>
      </c>
      <c r="F77">
        <f>Sayfa1!C77-273.15</f>
        <v>13.744165039062523</v>
      </c>
      <c r="G77">
        <v>92.577255249023438</v>
      </c>
      <c r="H77">
        <f>SQRT(Sayfa1!D77^2+Sayfa1!E77^2)</f>
        <v>1.0296850622711573</v>
      </c>
      <c r="I77">
        <f>SUM(Sayfa1!G54:G77)</f>
        <v>0</v>
      </c>
    </row>
    <row r="78" spans="1:9" x14ac:dyDescent="0.3">
      <c r="A78">
        <v>-118.75</v>
      </c>
      <c r="B78">
        <v>34.25</v>
      </c>
      <c r="C78">
        <v>2025</v>
      </c>
      <c r="D78">
        <v>1</v>
      </c>
      <c r="E78">
        <v>4</v>
      </c>
      <c r="F78">
        <f>Sayfa1!C78-273.15</f>
        <v>13.528710937500023</v>
      </c>
      <c r="G78">
        <v>95.093460083007813</v>
      </c>
      <c r="H78">
        <f>SQRT(Sayfa1!D78^2+Sayfa1!E78^2)</f>
        <v>0.49266391925123404</v>
      </c>
      <c r="I78">
        <f>SUM(Sayfa1!G55:G78)</f>
        <v>0</v>
      </c>
    </row>
    <row r="79" spans="1:9" x14ac:dyDescent="0.3">
      <c r="A79">
        <v>-118.75</v>
      </c>
      <c r="B79">
        <v>34.25</v>
      </c>
      <c r="C79">
        <v>2025</v>
      </c>
      <c r="D79">
        <v>1</v>
      </c>
      <c r="E79">
        <v>4</v>
      </c>
      <c r="F79">
        <f>Sayfa1!C79-273.15</f>
        <v>13.263208007812523</v>
      </c>
      <c r="G79">
        <v>95.695449829101563</v>
      </c>
      <c r="H79">
        <f>SQRT(Sayfa1!D79^2+Sayfa1!E79^2)</f>
        <v>0.22028433999384933</v>
      </c>
      <c r="I79">
        <f>SUM(Sayfa1!G56:G79)</f>
        <v>0</v>
      </c>
    </row>
    <row r="80" spans="1:9" x14ac:dyDescent="0.3">
      <c r="A80">
        <v>-118.75</v>
      </c>
      <c r="B80">
        <v>34.25</v>
      </c>
      <c r="C80">
        <v>2025</v>
      </c>
      <c r="D80">
        <v>1</v>
      </c>
      <c r="E80">
        <v>4</v>
      </c>
      <c r="F80">
        <f>Sayfa1!C80-273.15</f>
        <v>13.101953125000023</v>
      </c>
      <c r="G80">
        <v>95.497314453125</v>
      </c>
      <c r="H80">
        <f>SQRT(Sayfa1!D80^2+Sayfa1!E80^2)</f>
        <v>0.84368243239431417</v>
      </c>
      <c r="I80">
        <f>SUM(Sayfa1!G57:G80)</f>
        <v>0</v>
      </c>
    </row>
    <row r="81" spans="1:9" x14ac:dyDescent="0.3">
      <c r="A81">
        <v>-118.75</v>
      </c>
      <c r="B81">
        <v>34.25</v>
      </c>
      <c r="C81">
        <v>2025</v>
      </c>
      <c r="D81">
        <v>1</v>
      </c>
      <c r="E81">
        <v>4</v>
      </c>
      <c r="F81">
        <f>Sayfa1!C81-273.15</f>
        <v>13.248315429687523</v>
      </c>
      <c r="G81">
        <v>93.852401733398438</v>
      </c>
      <c r="H81">
        <f>SQRT(Sayfa1!D81^2+Sayfa1!E81^2)</f>
        <v>1.4341577095770961</v>
      </c>
      <c r="I81">
        <f>SUM(Sayfa1!G58:G81)</f>
        <v>0</v>
      </c>
    </row>
    <row r="82" spans="1:9" x14ac:dyDescent="0.3">
      <c r="A82">
        <v>-118.75</v>
      </c>
      <c r="B82">
        <v>34.25</v>
      </c>
      <c r="C82">
        <v>2025</v>
      </c>
      <c r="D82">
        <v>1</v>
      </c>
      <c r="E82">
        <v>4</v>
      </c>
      <c r="F82">
        <f>Sayfa1!C82-273.15</f>
        <v>13.155908203125023</v>
      </c>
      <c r="G82">
        <v>91.9688720703125</v>
      </c>
      <c r="H82">
        <f>SQRT(Sayfa1!D82^2+Sayfa1!E82^2)</f>
        <v>1.6076192242207774</v>
      </c>
      <c r="I82">
        <f>SUM(Sayfa1!G59:G82)</f>
        <v>0</v>
      </c>
    </row>
    <row r="83" spans="1:9" x14ac:dyDescent="0.3">
      <c r="A83">
        <v>-118.75</v>
      </c>
      <c r="B83">
        <v>34.25</v>
      </c>
      <c r="C83">
        <v>2025</v>
      </c>
      <c r="D83">
        <v>1</v>
      </c>
      <c r="E83">
        <v>4</v>
      </c>
      <c r="F83">
        <f>Sayfa1!C83-273.15</f>
        <v>13.122583007812523</v>
      </c>
      <c r="G83">
        <v>89.382598876953125</v>
      </c>
      <c r="H83">
        <f>SQRT(Sayfa1!D83^2+Sayfa1!E83^2)</f>
        <v>1.6260766998735092</v>
      </c>
      <c r="I83">
        <f>SUM(Sayfa1!G60:G83)</f>
        <v>0</v>
      </c>
    </row>
    <row r="84" spans="1:9" x14ac:dyDescent="0.3">
      <c r="A84">
        <v>-118.75</v>
      </c>
      <c r="B84">
        <v>34.25</v>
      </c>
      <c r="C84">
        <v>2025</v>
      </c>
      <c r="D84">
        <v>1</v>
      </c>
      <c r="E84">
        <v>4</v>
      </c>
      <c r="F84">
        <f>Sayfa1!C84-273.15</f>
        <v>12.410424804687523</v>
      </c>
      <c r="G84">
        <v>88.261337280273438</v>
      </c>
      <c r="H84">
        <f>SQRT(Sayfa1!D84^2+Sayfa1!E84^2)</f>
        <v>1.2929626031438497</v>
      </c>
      <c r="I84">
        <f>SUM(Sayfa1!G61:G84)</f>
        <v>4.76837158203125E-4</v>
      </c>
    </row>
    <row r="85" spans="1:9" x14ac:dyDescent="0.3">
      <c r="A85">
        <v>-118.75</v>
      </c>
      <c r="B85">
        <v>34.25</v>
      </c>
      <c r="C85">
        <v>2025</v>
      </c>
      <c r="D85">
        <v>1</v>
      </c>
      <c r="E85">
        <v>4</v>
      </c>
      <c r="F85">
        <f>Sayfa1!C85-273.15</f>
        <v>12.671044921875023</v>
      </c>
      <c r="G85">
        <v>85.386184692382813</v>
      </c>
      <c r="H85">
        <f>SQRT(Sayfa1!D85^2+Sayfa1!E85^2)</f>
        <v>1.2538587510687833</v>
      </c>
      <c r="I85">
        <f>SUM(Sayfa1!G62:G85)</f>
        <v>9.5367431640625E-4</v>
      </c>
    </row>
    <row r="86" spans="1:9" x14ac:dyDescent="0.3">
      <c r="A86">
        <v>-118.75</v>
      </c>
      <c r="B86">
        <v>34.25</v>
      </c>
      <c r="C86">
        <v>2025</v>
      </c>
      <c r="D86">
        <v>1</v>
      </c>
      <c r="E86">
        <v>4</v>
      </c>
      <c r="F86">
        <f>Sayfa1!C86-273.15</f>
        <v>12.757684326171898</v>
      </c>
      <c r="G86">
        <v>83.872467041015625</v>
      </c>
      <c r="H86">
        <f>SQRT(Sayfa1!D86^2+Sayfa1!E86^2)</f>
        <v>1.4845216265368644</v>
      </c>
      <c r="I86">
        <f>SUM(Sayfa1!G63:G86)</f>
        <v>9.5367431640625E-4</v>
      </c>
    </row>
    <row r="87" spans="1:9" x14ac:dyDescent="0.3">
      <c r="A87">
        <v>-118.75</v>
      </c>
      <c r="B87">
        <v>34.25</v>
      </c>
      <c r="C87">
        <v>2025</v>
      </c>
      <c r="D87">
        <v>1</v>
      </c>
      <c r="E87">
        <v>4</v>
      </c>
      <c r="F87">
        <f>Sayfa1!C87-273.15</f>
        <v>12.810998535156273</v>
      </c>
      <c r="G87">
        <v>82.317764282226563</v>
      </c>
      <c r="H87">
        <f>SQRT(Sayfa1!D87^2+Sayfa1!E87^2)</f>
        <v>1.5133878180631672</v>
      </c>
      <c r="I87">
        <f>SUM(Sayfa1!G64:G87)</f>
        <v>1.430511474609375E-3</v>
      </c>
    </row>
    <row r="88" spans="1:9" x14ac:dyDescent="0.3">
      <c r="A88">
        <v>-118.75</v>
      </c>
      <c r="B88">
        <v>34.25</v>
      </c>
      <c r="C88">
        <v>2025</v>
      </c>
      <c r="D88">
        <v>1</v>
      </c>
      <c r="E88">
        <v>4</v>
      </c>
      <c r="F88">
        <f>Sayfa1!C88-273.15</f>
        <v>12.903955078125023</v>
      </c>
      <c r="G88">
        <v>81.965576171875</v>
      </c>
      <c r="H88">
        <f>SQRT(Sayfa1!D88^2+Sayfa1!E88^2)</f>
        <v>1.2629503079679227</v>
      </c>
      <c r="I88">
        <f>SUM(Sayfa1!G65:G88)</f>
        <v>3.814697265625E-3</v>
      </c>
    </row>
    <row r="89" spans="1:9" x14ac:dyDescent="0.3">
      <c r="A89">
        <v>-118.75</v>
      </c>
      <c r="B89">
        <v>34.25</v>
      </c>
      <c r="C89">
        <v>2025</v>
      </c>
      <c r="D89">
        <v>1</v>
      </c>
      <c r="E89">
        <v>4</v>
      </c>
      <c r="F89">
        <f>Sayfa1!C89-273.15</f>
        <v>12.654199218750023</v>
      </c>
      <c r="G89">
        <v>81.568206787109375</v>
      </c>
      <c r="H89">
        <f>SQRT(Sayfa1!D89^2+Sayfa1!E89^2)</f>
        <v>1.046319089017709</v>
      </c>
      <c r="I89">
        <f>SUM(Sayfa1!G66:G89)</f>
        <v>3.814697265625E-3</v>
      </c>
    </row>
    <row r="90" spans="1:9" x14ac:dyDescent="0.3">
      <c r="A90">
        <v>-118.75</v>
      </c>
      <c r="B90">
        <v>34.25</v>
      </c>
      <c r="C90">
        <v>2025</v>
      </c>
      <c r="D90">
        <v>1</v>
      </c>
      <c r="E90">
        <v>4</v>
      </c>
      <c r="F90">
        <f>Sayfa1!C90-273.15</f>
        <v>12.228021240234398</v>
      </c>
      <c r="G90">
        <v>77.950775146484375</v>
      </c>
      <c r="H90">
        <f>SQRT(Sayfa1!D90^2+Sayfa1!E90^2)</f>
        <v>0.94361422879354251</v>
      </c>
      <c r="I90">
        <f>SUM(Sayfa1!G67:G90)</f>
        <v>3.814697265625E-3</v>
      </c>
    </row>
    <row r="91" spans="1:9" x14ac:dyDescent="0.3">
      <c r="A91">
        <v>-118.75</v>
      </c>
      <c r="B91">
        <v>34.25</v>
      </c>
      <c r="C91">
        <v>2025</v>
      </c>
      <c r="D91">
        <v>1</v>
      </c>
      <c r="E91">
        <v>4</v>
      </c>
      <c r="F91">
        <f>Sayfa1!C91-273.15</f>
        <v>12.338189697265648</v>
      </c>
      <c r="G91">
        <v>66.542526245117188</v>
      </c>
      <c r="H91">
        <f>SQRT(Sayfa1!D91^2+Sayfa1!E91^2)</f>
        <v>0.96212653764017442</v>
      </c>
      <c r="I91">
        <f>SUM(Sayfa1!G68:G91)</f>
        <v>3.814697265625E-3</v>
      </c>
    </row>
    <row r="92" spans="1:9" x14ac:dyDescent="0.3">
      <c r="A92">
        <v>-118.75</v>
      </c>
      <c r="B92">
        <v>34.25</v>
      </c>
      <c r="C92">
        <v>2025</v>
      </c>
      <c r="D92">
        <v>1</v>
      </c>
      <c r="E92">
        <v>4</v>
      </c>
      <c r="F92">
        <f>Sayfa1!C92-273.15</f>
        <v>13.477014160156273</v>
      </c>
      <c r="G92">
        <v>54.04827880859375</v>
      </c>
      <c r="H92">
        <f>SQRT(Sayfa1!D92^2+Sayfa1!E92^2)</f>
        <v>0.96997565679391828</v>
      </c>
      <c r="I92">
        <f>SUM(Sayfa1!G69:G92)</f>
        <v>3.814697265625E-3</v>
      </c>
    </row>
    <row r="93" spans="1:9" x14ac:dyDescent="0.3">
      <c r="A93">
        <v>-118.75</v>
      </c>
      <c r="B93">
        <v>34.25</v>
      </c>
      <c r="C93">
        <v>2025</v>
      </c>
      <c r="D93">
        <v>1</v>
      </c>
      <c r="E93">
        <v>4</v>
      </c>
      <c r="F93">
        <f>Sayfa1!C93-273.15</f>
        <v>15.211328125000023</v>
      </c>
      <c r="G93">
        <v>44.262435913085938</v>
      </c>
      <c r="H93">
        <f>SQRT(Sayfa1!D93^2+Sayfa1!E93^2)</f>
        <v>1.4013913126772892</v>
      </c>
      <c r="I93">
        <f>SUM(Sayfa1!G70:G93)</f>
        <v>3.814697265625E-3</v>
      </c>
    </row>
    <row r="94" spans="1:9" x14ac:dyDescent="0.3">
      <c r="A94">
        <v>-118.75</v>
      </c>
      <c r="B94">
        <v>34.25</v>
      </c>
      <c r="C94">
        <v>2025</v>
      </c>
      <c r="D94">
        <v>1</v>
      </c>
      <c r="E94">
        <v>4</v>
      </c>
      <c r="F94">
        <f>Sayfa1!C94-273.15</f>
        <v>16.806298828125023</v>
      </c>
      <c r="G94">
        <v>37.825393676757813</v>
      </c>
      <c r="H94">
        <f>SQRT(Sayfa1!D94^2+Sayfa1!E94^2)</f>
        <v>1.520391513226987</v>
      </c>
      <c r="I94">
        <f>SUM(Sayfa1!G71:G94)</f>
        <v>3.814697265625E-3</v>
      </c>
    </row>
    <row r="95" spans="1:9" x14ac:dyDescent="0.3">
      <c r="A95">
        <v>-118.75</v>
      </c>
      <c r="B95">
        <v>34.25</v>
      </c>
      <c r="C95">
        <v>2025</v>
      </c>
      <c r="D95">
        <v>1</v>
      </c>
      <c r="E95">
        <v>4</v>
      </c>
      <c r="F95">
        <f>Sayfa1!C95-273.15</f>
        <v>17.999291992187523</v>
      </c>
      <c r="G95">
        <v>33.599807739257813</v>
      </c>
      <c r="H95">
        <f>SQRT(Sayfa1!D95^2+Sayfa1!E95^2)</f>
        <v>1.4832134424198107</v>
      </c>
      <c r="I95">
        <f>SUM(Sayfa1!G72:G95)</f>
        <v>3.814697265625E-3</v>
      </c>
    </row>
    <row r="96" spans="1:9" x14ac:dyDescent="0.3">
      <c r="A96">
        <v>-118.75</v>
      </c>
      <c r="B96">
        <v>34.25</v>
      </c>
      <c r="C96">
        <v>2025</v>
      </c>
      <c r="D96">
        <v>1</v>
      </c>
      <c r="E96">
        <v>4</v>
      </c>
      <c r="F96">
        <f>Sayfa1!C96-273.15</f>
        <v>17.273461914062523</v>
      </c>
      <c r="G96">
        <v>36.920867919921875</v>
      </c>
      <c r="H96">
        <f>SQRT(Sayfa1!D96^2+Sayfa1!E96^2)</f>
        <v>0.63322733689983801</v>
      </c>
      <c r="I96">
        <f>SUM(Sayfa1!G73:G96)</f>
        <v>3.814697265625E-3</v>
      </c>
    </row>
    <row r="97" spans="1:9" x14ac:dyDescent="0.3">
      <c r="A97">
        <v>-118.75</v>
      </c>
      <c r="B97">
        <v>34.25</v>
      </c>
      <c r="C97">
        <v>2025</v>
      </c>
      <c r="D97">
        <v>1</v>
      </c>
      <c r="E97">
        <v>4</v>
      </c>
      <c r="F97">
        <f>Sayfa1!C97-273.15</f>
        <v>17.574609375000023</v>
      </c>
      <c r="G97">
        <v>36.982345581054688</v>
      </c>
      <c r="H97">
        <f>SQRT(Sayfa1!D97^2+Sayfa1!E97^2)</f>
        <v>0.17376914054965603</v>
      </c>
      <c r="I97">
        <f>SUM(Sayfa1!G74:G97)</f>
        <v>3.814697265625E-3</v>
      </c>
    </row>
    <row r="98" spans="1:9" x14ac:dyDescent="0.3">
      <c r="A98">
        <v>-118.75</v>
      </c>
      <c r="B98">
        <v>34.25</v>
      </c>
      <c r="C98">
        <v>2025</v>
      </c>
      <c r="D98">
        <v>1</v>
      </c>
      <c r="E98">
        <v>5</v>
      </c>
      <c r="F98">
        <f>Sayfa1!C98-273.15</f>
        <v>17.318994140625023</v>
      </c>
      <c r="G98">
        <v>41.148712158203125</v>
      </c>
      <c r="H98">
        <f>SQRT(Sayfa1!D98^2+Sayfa1!E98^2)</f>
        <v>0.64168488891861175</v>
      </c>
      <c r="I98">
        <f>SUM(Sayfa1!G75:G98)</f>
        <v>3.814697265625E-3</v>
      </c>
    </row>
    <row r="99" spans="1:9" x14ac:dyDescent="0.3">
      <c r="A99">
        <v>-118.75</v>
      </c>
      <c r="B99">
        <v>34.25</v>
      </c>
      <c r="C99">
        <v>2025</v>
      </c>
      <c r="D99">
        <v>1</v>
      </c>
      <c r="E99">
        <v>5</v>
      </c>
      <c r="F99">
        <f>Sayfa1!C99-273.15</f>
        <v>17.015649414062523</v>
      </c>
      <c r="G99">
        <v>47.0455322265625</v>
      </c>
      <c r="H99">
        <f>SQRT(Sayfa1!D99^2+Sayfa1!E99^2)</f>
        <v>1.1091823337121678</v>
      </c>
      <c r="I99">
        <f>SUM(Sayfa1!G76:G99)</f>
        <v>3.814697265625E-3</v>
      </c>
    </row>
    <row r="100" spans="1:9" x14ac:dyDescent="0.3">
      <c r="A100">
        <v>-118.75</v>
      </c>
      <c r="B100">
        <v>34.25</v>
      </c>
      <c r="C100">
        <v>2025</v>
      </c>
      <c r="D100">
        <v>1</v>
      </c>
      <c r="E100">
        <v>5</v>
      </c>
      <c r="F100">
        <f>Sayfa1!C100-273.15</f>
        <v>16.735498046875023</v>
      </c>
      <c r="G100">
        <v>52.499862670898438</v>
      </c>
      <c r="H100">
        <f>SQRT(Sayfa1!D100^2+Sayfa1!E100^2)</f>
        <v>1.302783940993701</v>
      </c>
      <c r="I100">
        <f>SUM(Sayfa1!G77:G100)</f>
        <v>3.814697265625E-3</v>
      </c>
    </row>
    <row r="101" spans="1:9" x14ac:dyDescent="0.3">
      <c r="A101">
        <v>-118.75</v>
      </c>
      <c r="B101">
        <v>34.25</v>
      </c>
      <c r="C101">
        <v>2025</v>
      </c>
      <c r="D101">
        <v>1</v>
      </c>
      <c r="E101">
        <v>5</v>
      </c>
      <c r="F101">
        <f>Sayfa1!C101-273.15</f>
        <v>16.285729980468773</v>
      </c>
      <c r="G101">
        <v>58.0933837890625</v>
      </c>
      <c r="H101">
        <f>SQRT(Sayfa1!D101^2+Sayfa1!E101^2)</f>
        <v>1.6255737759470839</v>
      </c>
      <c r="I101">
        <f>SUM(Sayfa1!G78:G101)</f>
        <v>3.814697265625E-3</v>
      </c>
    </row>
    <row r="102" spans="1:9" x14ac:dyDescent="0.3">
      <c r="A102">
        <v>-118.75</v>
      </c>
      <c r="B102">
        <v>34.25</v>
      </c>
      <c r="C102">
        <v>2025</v>
      </c>
      <c r="D102">
        <v>1</v>
      </c>
      <c r="E102">
        <v>5</v>
      </c>
      <c r="F102">
        <f>Sayfa1!C102-273.15</f>
        <v>15.706872558593773</v>
      </c>
      <c r="G102">
        <v>62.040451049804688</v>
      </c>
      <c r="H102">
        <f>SQRT(Sayfa1!D102^2+Sayfa1!E102^2)</f>
        <v>1.9312745539700917</v>
      </c>
      <c r="I102">
        <f>SUM(Sayfa1!G79:G102)</f>
        <v>3.814697265625E-3</v>
      </c>
    </row>
    <row r="103" spans="1:9" x14ac:dyDescent="0.3">
      <c r="A103">
        <v>-118.75</v>
      </c>
      <c r="B103">
        <v>34.25</v>
      </c>
      <c r="C103">
        <v>2025</v>
      </c>
      <c r="D103">
        <v>1</v>
      </c>
      <c r="E103">
        <v>5</v>
      </c>
      <c r="F103">
        <f>Sayfa1!C103-273.15</f>
        <v>15.293115234375023</v>
      </c>
      <c r="G103">
        <v>63.207778930664063</v>
      </c>
      <c r="H103">
        <f>SQRT(Sayfa1!D103^2+Sayfa1!E103^2)</f>
        <v>2.1763637690610143</v>
      </c>
      <c r="I103">
        <f>SUM(Sayfa1!G80:G103)</f>
        <v>3.814697265625E-3</v>
      </c>
    </row>
    <row r="104" spans="1:9" x14ac:dyDescent="0.3">
      <c r="A104">
        <v>-118.75</v>
      </c>
      <c r="B104">
        <v>34.25</v>
      </c>
      <c r="C104">
        <v>2025</v>
      </c>
      <c r="D104">
        <v>1</v>
      </c>
      <c r="E104">
        <v>5</v>
      </c>
      <c r="F104">
        <f>Sayfa1!C104-273.15</f>
        <v>14.895776367187523</v>
      </c>
      <c r="G104">
        <v>62.119537353515625</v>
      </c>
      <c r="H104">
        <f>SQRT(Sayfa1!D104^2+Sayfa1!E104^2)</f>
        <v>2.4698541623073771</v>
      </c>
      <c r="I104">
        <f>SUM(Sayfa1!G81:G104)</f>
        <v>3.814697265625E-3</v>
      </c>
    </row>
    <row r="105" spans="1:9" x14ac:dyDescent="0.3">
      <c r="A105">
        <v>-118.75</v>
      </c>
      <c r="B105">
        <v>34.25</v>
      </c>
      <c r="C105">
        <v>2025</v>
      </c>
      <c r="D105">
        <v>1</v>
      </c>
      <c r="E105">
        <v>5</v>
      </c>
      <c r="F105">
        <f>Sayfa1!C105-273.15</f>
        <v>14.609155273437523</v>
      </c>
      <c r="G105">
        <v>62.1318359375</v>
      </c>
      <c r="H105">
        <f>SQRT(Sayfa1!D105^2+Sayfa1!E105^2)</f>
        <v>2.6814302489916018</v>
      </c>
      <c r="I105">
        <f>SUM(Sayfa1!G82:G105)</f>
        <v>3.814697265625E-3</v>
      </c>
    </row>
    <row r="106" spans="1:9" x14ac:dyDescent="0.3">
      <c r="A106">
        <v>-118.75</v>
      </c>
      <c r="B106">
        <v>34.25</v>
      </c>
      <c r="C106">
        <v>2025</v>
      </c>
      <c r="D106">
        <v>1</v>
      </c>
      <c r="E106">
        <v>5</v>
      </c>
      <c r="F106">
        <f>Sayfa1!C106-273.15</f>
        <v>14.454980468750023</v>
      </c>
      <c r="G106">
        <v>63.211715698242188</v>
      </c>
      <c r="H106">
        <f>SQRT(Sayfa1!D106^2+Sayfa1!E106^2)</f>
        <v>2.7326836541123853</v>
      </c>
      <c r="I106">
        <f>SUM(Sayfa1!G83:G106)</f>
        <v>3.814697265625E-3</v>
      </c>
    </row>
    <row r="107" spans="1:9" x14ac:dyDescent="0.3">
      <c r="A107">
        <v>-118.75</v>
      </c>
      <c r="B107">
        <v>34.25</v>
      </c>
      <c r="C107">
        <v>2025</v>
      </c>
      <c r="D107">
        <v>1</v>
      </c>
      <c r="E107">
        <v>5</v>
      </c>
      <c r="F107">
        <f>Sayfa1!C107-273.15</f>
        <v>14.399072265625023</v>
      </c>
      <c r="G107">
        <v>64.524978637695313</v>
      </c>
      <c r="H107">
        <f>SQRT(Sayfa1!D107^2+Sayfa1!E107^2)</f>
        <v>2.7477331928857094</v>
      </c>
      <c r="I107">
        <f>SUM(Sayfa1!G84:G107)</f>
        <v>3.814697265625E-3</v>
      </c>
    </row>
    <row r="108" spans="1:9" x14ac:dyDescent="0.3">
      <c r="A108">
        <v>-118.75</v>
      </c>
      <c r="B108">
        <v>34.25</v>
      </c>
      <c r="C108">
        <v>2025</v>
      </c>
      <c r="D108">
        <v>1</v>
      </c>
      <c r="E108">
        <v>5</v>
      </c>
      <c r="F108">
        <f>Sayfa1!C108-273.15</f>
        <v>14.778710937500023</v>
      </c>
      <c r="G108">
        <v>57.352874755859375</v>
      </c>
      <c r="H108">
        <f>SQRT(Sayfa1!D108^2+Sayfa1!E108^2)</f>
        <v>2.9225227825915754</v>
      </c>
      <c r="I108">
        <f>SUM(Sayfa1!G85:G108)</f>
        <v>3.337860107421875E-3</v>
      </c>
    </row>
    <row r="109" spans="1:9" x14ac:dyDescent="0.3">
      <c r="A109">
        <v>-118.75</v>
      </c>
      <c r="B109">
        <v>34.25</v>
      </c>
      <c r="C109">
        <v>2025</v>
      </c>
      <c r="D109">
        <v>1</v>
      </c>
      <c r="E109">
        <v>5</v>
      </c>
      <c r="F109">
        <f>Sayfa1!C109-273.15</f>
        <v>15.182275390625023</v>
      </c>
      <c r="G109">
        <v>58.94903564453125</v>
      </c>
      <c r="H109">
        <f>SQRT(Sayfa1!D109^2+Sayfa1!E109^2)</f>
        <v>2.8410227532722199</v>
      </c>
      <c r="I109">
        <f>SUM(Sayfa1!G86:G109)</f>
        <v>2.86102294921875E-3</v>
      </c>
    </row>
    <row r="110" spans="1:9" x14ac:dyDescent="0.3">
      <c r="A110">
        <v>-118.75</v>
      </c>
      <c r="B110">
        <v>34.25</v>
      </c>
      <c r="C110">
        <v>2025</v>
      </c>
      <c r="D110">
        <v>1</v>
      </c>
      <c r="E110">
        <v>5</v>
      </c>
      <c r="F110">
        <f>Sayfa1!C110-273.15</f>
        <v>15.740747070312523</v>
      </c>
      <c r="G110">
        <v>60.096771240234375</v>
      </c>
      <c r="H110">
        <f>SQRT(Sayfa1!D110^2+Sayfa1!E110^2)</f>
        <v>2.7817697468421501</v>
      </c>
      <c r="I110">
        <f>SUM(Sayfa1!G87:G110)</f>
        <v>2.86102294921875E-3</v>
      </c>
    </row>
    <row r="111" spans="1:9" x14ac:dyDescent="0.3">
      <c r="A111">
        <v>-118.75</v>
      </c>
      <c r="B111">
        <v>34.25</v>
      </c>
      <c r="C111">
        <v>2025</v>
      </c>
      <c r="D111">
        <v>1</v>
      </c>
      <c r="E111">
        <v>5</v>
      </c>
      <c r="F111">
        <f>Sayfa1!C111-273.15</f>
        <v>16.125878906250023</v>
      </c>
      <c r="G111">
        <v>61.486251831054688</v>
      </c>
      <c r="H111">
        <f>SQRT(Sayfa1!D111^2+Sayfa1!E111^2)</f>
        <v>2.7623678446839346</v>
      </c>
      <c r="I111">
        <f>SUM(Sayfa1!G88:G111)</f>
        <v>2.384185791015625E-3</v>
      </c>
    </row>
    <row r="112" spans="1:9" x14ac:dyDescent="0.3">
      <c r="A112">
        <v>-118.75</v>
      </c>
      <c r="B112">
        <v>34.25</v>
      </c>
      <c r="C112">
        <v>2025</v>
      </c>
      <c r="D112">
        <v>1</v>
      </c>
      <c r="E112">
        <v>5</v>
      </c>
      <c r="F112">
        <f>Sayfa1!C112-273.15</f>
        <v>16.502465820312523</v>
      </c>
      <c r="G112">
        <v>61.4183349609375</v>
      </c>
      <c r="H112">
        <f>SQRT(Sayfa1!D112^2+Sayfa1!E112^2)</f>
        <v>2.7231351530516537</v>
      </c>
      <c r="I112">
        <f>SUM(Sayfa1!G89:G112)</f>
        <v>0</v>
      </c>
    </row>
    <row r="113" spans="1:9" x14ac:dyDescent="0.3">
      <c r="A113">
        <v>-118.75</v>
      </c>
      <c r="B113">
        <v>34.25</v>
      </c>
      <c r="C113">
        <v>2025</v>
      </c>
      <c r="D113">
        <v>1</v>
      </c>
      <c r="E113">
        <v>5</v>
      </c>
      <c r="F113">
        <f>Sayfa1!C113-273.15</f>
        <v>16.853417968750023</v>
      </c>
      <c r="G113">
        <v>60.778030395507813</v>
      </c>
      <c r="H113">
        <f>SQRT(Sayfa1!D113^2+Sayfa1!E113^2)</f>
        <v>2.7915111032539648</v>
      </c>
      <c r="I113">
        <f>SUM(Sayfa1!G90:G113)</f>
        <v>0</v>
      </c>
    </row>
    <row r="114" spans="1:9" x14ac:dyDescent="0.3">
      <c r="A114">
        <v>-118.75</v>
      </c>
      <c r="B114">
        <v>34.25</v>
      </c>
      <c r="C114">
        <v>2025</v>
      </c>
      <c r="D114">
        <v>1</v>
      </c>
      <c r="E114">
        <v>5</v>
      </c>
      <c r="F114">
        <f>Sayfa1!C114-273.15</f>
        <v>17.122460937500023</v>
      </c>
      <c r="G114">
        <v>57.02777099609375</v>
      </c>
      <c r="H114">
        <f>SQRT(Sayfa1!D114^2+Sayfa1!E114^2)</f>
        <v>2.6888423060171154</v>
      </c>
      <c r="I114">
        <f>SUM(Sayfa1!G91:G114)</f>
        <v>0</v>
      </c>
    </row>
    <row r="115" spans="1:9" x14ac:dyDescent="0.3">
      <c r="A115">
        <v>-118.75</v>
      </c>
      <c r="B115">
        <v>34.25</v>
      </c>
      <c r="C115">
        <v>2025</v>
      </c>
      <c r="D115">
        <v>1</v>
      </c>
      <c r="E115">
        <v>5</v>
      </c>
      <c r="F115">
        <f>Sayfa1!C115-273.15</f>
        <v>17.350854492187523</v>
      </c>
      <c r="G115">
        <v>48.857513427734375</v>
      </c>
      <c r="H115">
        <f>SQRT(Sayfa1!D115^2+Sayfa1!E115^2)</f>
        <v>2.2901659876455431</v>
      </c>
      <c r="I115">
        <f>SUM(Sayfa1!G92:G115)</f>
        <v>0</v>
      </c>
    </row>
    <row r="116" spans="1:9" x14ac:dyDescent="0.3">
      <c r="A116">
        <v>-118.75</v>
      </c>
      <c r="B116">
        <v>34.25</v>
      </c>
      <c r="C116">
        <v>2025</v>
      </c>
      <c r="D116">
        <v>1</v>
      </c>
      <c r="E116">
        <v>5</v>
      </c>
      <c r="F116">
        <f>Sayfa1!C116-273.15</f>
        <v>17.537744140625023</v>
      </c>
      <c r="G116">
        <v>38.371200561523438</v>
      </c>
      <c r="H116">
        <f>SQRT(Sayfa1!D116^2+Sayfa1!E116^2)</f>
        <v>2.0093828558884117</v>
      </c>
      <c r="I116">
        <f>SUM(Sayfa1!G93:G116)</f>
        <v>0</v>
      </c>
    </row>
    <row r="117" spans="1:9" x14ac:dyDescent="0.3">
      <c r="A117">
        <v>-118.75</v>
      </c>
      <c r="B117">
        <v>34.25</v>
      </c>
      <c r="C117">
        <v>2025</v>
      </c>
      <c r="D117">
        <v>1</v>
      </c>
      <c r="E117">
        <v>5</v>
      </c>
      <c r="F117">
        <f>Sayfa1!C117-273.15</f>
        <v>19.321313476562523</v>
      </c>
      <c r="G117">
        <v>26.675765991210938</v>
      </c>
      <c r="H117">
        <f>SQRT(Sayfa1!D117^2+Sayfa1!E117^2)</f>
        <v>1.8662260640433082</v>
      </c>
      <c r="I117">
        <f>SUM(Sayfa1!G94:G117)</f>
        <v>0</v>
      </c>
    </row>
    <row r="118" spans="1:9" x14ac:dyDescent="0.3">
      <c r="A118">
        <v>-118.75</v>
      </c>
      <c r="B118">
        <v>34.25</v>
      </c>
      <c r="C118">
        <v>2025</v>
      </c>
      <c r="D118">
        <v>1</v>
      </c>
      <c r="E118">
        <v>5</v>
      </c>
      <c r="F118">
        <f>Sayfa1!C118-273.15</f>
        <v>21.172265625000023</v>
      </c>
      <c r="G118">
        <v>20.925567626953125</v>
      </c>
      <c r="H118">
        <f>SQRT(Sayfa1!D118^2+Sayfa1!E118^2)</f>
        <v>2.0050795250618725</v>
      </c>
      <c r="I118">
        <f>SUM(Sayfa1!G95:G118)</f>
        <v>0</v>
      </c>
    </row>
    <row r="119" spans="1:9" x14ac:dyDescent="0.3">
      <c r="A119">
        <v>-118.75</v>
      </c>
      <c r="B119">
        <v>34.25</v>
      </c>
      <c r="C119">
        <v>2025</v>
      </c>
      <c r="D119">
        <v>1</v>
      </c>
      <c r="E119">
        <v>5</v>
      </c>
      <c r="F119">
        <f>Sayfa1!C119-273.15</f>
        <v>22.321313476562523</v>
      </c>
      <c r="G119">
        <v>19.595745086669922</v>
      </c>
      <c r="H119">
        <f>SQRT(Sayfa1!D119^2+Sayfa1!E119^2)</f>
        <v>1.8392577717533858</v>
      </c>
      <c r="I119">
        <f>SUM(Sayfa1!G96:G119)</f>
        <v>0</v>
      </c>
    </row>
    <row r="120" spans="1:9" x14ac:dyDescent="0.3">
      <c r="A120">
        <v>-118.75</v>
      </c>
      <c r="B120">
        <v>34.25</v>
      </c>
      <c r="C120">
        <v>2025</v>
      </c>
      <c r="D120">
        <v>1</v>
      </c>
      <c r="E120">
        <v>5</v>
      </c>
      <c r="F120">
        <f>Sayfa1!C120-273.15</f>
        <v>22.474877929687523</v>
      </c>
      <c r="G120">
        <v>19.887916564941406</v>
      </c>
      <c r="H120">
        <f>SQRT(Sayfa1!D120^2+Sayfa1!E120^2)</f>
        <v>0.72959748782254996</v>
      </c>
      <c r="I120">
        <f>SUM(Sayfa1!G97:G120)</f>
        <v>0</v>
      </c>
    </row>
    <row r="121" spans="1:9" x14ac:dyDescent="0.3">
      <c r="A121">
        <v>-118.75</v>
      </c>
      <c r="B121">
        <v>34.25</v>
      </c>
      <c r="C121">
        <v>2025</v>
      </c>
      <c r="D121">
        <v>1</v>
      </c>
      <c r="E121">
        <v>5</v>
      </c>
      <c r="F121">
        <f>Sayfa1!C121-273.15</f>
        <v>22.353540039062523</v>
      </c>
      <c r="G121">
        <v>22.893835067749023</v>
      </c>
      <c r="H121">
        <f>SQRT(Sayfa1!D121^2+Sayfa1!E121^2)</f>
        <v>0.32882133213641374</v>
      </c>
      <c r="I121">
        <f>SUM(Sayfa1!G98:G121)</f>
        <v>0</v>
      </c>
    </row>
    <row r="122" spans="1:9" x14ac:dyDescent="0.3">
      <c r="A122">
        <v>-118.75</v>
      </c>
      <c r="B122">
        <v>34.25</v>
      </c>
      <c r="C122">
        <v>2025</v>
      </c>
      <c r="D122">
        <v>1</v>
      </c>
      <c r="E122">
        <v>6</v>
      </c>
      <c r="F122">
        <f>Sayfa1!C122-273.15</f>
        <v>21.901147460937523</v>
      </c>
      <c r="G122">
        <v>30.222774505615234</v>
      </c>
      <c r="H122">
        <f>SQRT(Sayfa1!D122^2+Sayfa1!E122^2)</f>
        <v>0.39987544492120397</v>
      </c>
      <c r="I122">
        <f>SUM(Sayfa1!G99:G122)</f>
        <v>0</v>
      </c>
    </row>
    <row r="123" spans="1:9" x14ac:dyDescent="0.3">
      <c r="A123">
        <v>-118.75</v>
      </c>
      <c r="B123">
        <v>34.25</v>
      </c>
      <c r="C123">
        <v>2025</v>
      </c>
      <c r="D123">
        <v>1</v>
      </c>
      <c r="E123">
        <v>6</v>
      </c>
      <c r="F123">
        <f>Sayfa1!C123-273.15</f>
        <v>21.644311523437523</v>
      </c>
      <c r="G123">
        <v>34.340530395507813</v>
      </c>
      <c r="H123">
        <f>SQRT(Sayfa1!D123^2+Sayfa1!E123^2)</f>
        <v>0.97100785023012637</v>
      </c>
      <c r="I123">
        <f>SUM(Sayfa1!G100:G123)</f>
        <v>0</v>
      </c>
    </row>
    <row r="124" spans="1:9" x14ac:dyDescent="0.3">
      <c r="A124">
        <v>-118.75</v>
      </c>
      <c r="B124">
        <v>34.25</v>
      </c>
      <c r="C124">
        <v>2025</v>
      </c>
      <c r="D124">
        <v>1</v>
      </c>
      <c r="E124">
        <v>6</v>
      </c>
      <c r="F124">
        <f>Sayfa1!C124-273.15</f>
        <v>21.464685058593773</v>
      </c>
      <c r="G124">
        <v>35.468307495117188</v>
      </c>
      <c r="H124">
        <f>SQRT(Sayfa1!D124^2+Sayfa1!E124^2)</f>
        <v>1.5492686052549518</v>
      </c>
      <c r="I124">
        <f>SUM(Sayfa1!G101:G124)</f>
        <v>0</v>
      </c>
    </row>
    <row r="125" spans="1:9" x14ac:dyDescent="0.3">
      <c r="A125">
        <v>-118.75</v>
      </c>
      <c r="B125">
        <v>34.25</v>
      </c>
      <c r="C125">
        <v>2025</v>
      </c>
      <c r="D125">
        <v>1</v>
      </c>
      <c r="E125">
        <v>6</v>
      </c>
      <c r="F125">
        <f>Sayfa1!C125-273.15</f>
        <v>21.360498046875023</v>
      </c>
      <c r="G125">
        <v>36.530838012695313</v>
      </c>
      <c r="H125">
        <f>SQRT(Sayfa1!D125^2+Sayfa1!E125^2)</f>
        <v>1.9782086174311353</v>
      </c>
      <c r="I125">
        <f>SUM(Sayfa1!G102:G125)</f>
        <v>0</v>
      </c>
    </row>
    <row r="126" spans="1:9" x14ac:dyDescent="0.3">
      <c r="A126">
        <v>-118.75</v>
      </c>
      <c r="B126">
        <v>34.25</v>
      </c>
      <c r="C126">
        <v>2025</v>
      </c>
      <c r="D126">
        <v>1</v>
      </c>
      <c r="E126">
        <v>6</v>
      </c>
      <c r="F126">
        <f>Sayfa1!C126-273.15</f>
        <v>21.293908691406273</v>
      </c>
      <c r="G126">
        <v>42.6572265625</v>
      </c>
      <c r="H126">
        <f>SQRT(Sayfa1!D126^2+Sayfa1!E126^2)</f>
        <v>2.1387259766624767</v>
      </c>
      <c r="I126">
        <f>SUM(Sayfa1!G103:G126)</f>
        <v>0</v>
      </c>
    </row>
    <row r="127" spans="1:9" x14ac:dyDescent="0.3">
      <c r="A127">
        <v>-118.75</v>
      </c>
      <c r="B127">
        <v>34.25</v>
      </c>
      <c r="C127">
        <v>2025</v>
      </c>
      <c r="D127">
        <v>1</v>
      </c>
      <c r="E127">
        <v>6</v>
      </c>
      <c r="F127">
        <f>Sayfa1!C127-273.15</f>
        <v>21.122003173828148</v>
      </c>
      <c r="G127">
        <v>51.7081298828125</v>
      </c>
      <c r="H127">
        <f>SQRT(Sayfa1!D127^2+Sayfa1!E127^2)</f>
        <v>2.1466095271127732</v>
      </c>
      <c r="I127">
        <f>SUM(Sayfa1!G104:G127)</f>
        <v>0</v>
      </c>
    </row>
    <row r="128" spans="1:9" x14ac:dyDescent="0.3">
      <c r="A128">
        <v>-118.75</v>
      </c>
      <c r="B128">
        <v>34.25</v>
      </c>
      <c r="C128">
        <v>2025</v>
      </c>
      <c r="D128">
        <v>1</v>
      </c>
      <c r="E128">
        <v>6</v>
      </c>
      <c r="F128">
        <f>Sayfa1!C128-273.15</f>
        <v>20.980401611328148</v>
      </c>
      <c r="G128">
        <v>57.581939697265625</v>
      </c>
      <c r="H128">
        <f>SQRT(Sayfa1!D128^2+Sayfa1!E128^2)</f>
        <v>2.2446621844551</v>
      </c>
      <c r="I128">
        <f>SUM(Sayfa1!G105:G128)</f>
        <v>0</v>
      </c>
    </row>
    <row r="129" spans="1:9" x14ac:dyDescent="0.3">
      <c r="A129">
        <v>-118.75</v>
      </c>
      <c r="B129">
        <v>34.25</v>
      </c>
      <c r="C129">
        <v>2025</v>
      </c>
      <c r="D129">
        <v>1</v>
      </c>
      <c r="E129">
        <v>6</v>
      </c>
      <c r="F129">
        <f>Sayfa1!C129-273.15</f>
        <v>20.798608398437523</v>
      </c>
      <c r="G129">
        <v>62.246856689453125</v>
      </c>
      <c r="H129">
        <f>SQRT(Sayfa1!D129^2+Sayfa1!E129^2)</f>
        <v>2.3037437656549016</v>
      </c>
      <c r="I129">
        <f>SUM(Sayfa1!G106:G129)</f>
        <v>0</v>
      </c>
    </row>
    <row r="130" spans="1:9" x14ac:dyDescent="0.3">
      <c r="A130">
        <v>-118.75</v>
      </c>
      <c r="B130">
        <v>34.25</v>
      </c>
      <c r="C130">
        <v>2025</v>
      </c>
      <c r="D130">
        <v>1</v>
      </c>
      <c r="E130">
        <v>6</v>
      </c>
      <c r="F130">
        <f>Sayfa1!C130-273.15</f>
        <v>20.423486328125023</v>
      </c>
      <c r="G130">
        <v>64.754989624023438</v>
      </c>
      <c r="H130">
        <f>SQRT(Sayfa1!D130^2+Sayfa1!E130^2)</f>
        <v>2.4288335722426879</v>
      </c>
      <c r="I130">
        <f>SUM(Sayfa1!G107:G130)</f>
        <v>0</v>
      </c>
    </row>
    <row r="131" spans="1:9" x14ac:dyDescent="0.3">
      <c r="A131">
        <v>-118.75</v>
      </c>
      <c r="B131">
        <v>34.25</v>
      </c>
      <c r="C131">
        <v>2025</v>
      </c>
      <c r="D131">
        <v>1</v>
      </c>
      <c r="E131">
        <v>6</v>
      </c>
      <c r="F131">
        <f>Sayfa1!C131-273.15</f>
        <v>20.184899902343773</v>
      </c>
      <c r="G131">
        <v>66.250167846679688</v>
      </c>
      <c r="H131">
        <f>SQRT(Sayfa1!D131^2+Sayfa1!E131^2)</f>
        <v>2.498455655132346</v>
      </c>
      <c r="I131">
        <f>SUM(Sayfa1!G108:G131)</f>
        <v>0</v>
      </c>
    </row>
    <row r="132" spans="1:9" x14ac:dyDescent="0.3">
      <c r="A132">
        <v>-118.75</v>
      </c>
      <c r="B132">
        <v>34.25</v>
      </c>
      <c r="C132">
        <v>2025</v>
      </c>
      <c r="D132">
        <v>1</v>
      </c>
      <c r="E132">
        <v>6</v>
      </c>
      <c r="F132">
        <f>Sayfa1!C132-273.15</f>
        <v>19.804833984375023</v>
      </c>
      <c r="G132">
        <v>65.652389526367188</v>
      </c>
      <c r="H132">
        <f>SQRT(Sayfa1!D132^2+Sayfa1!E132^2)</f>
        <v>2.4479283526630753</v>
      </c>
      <c r="I132">
        <f>SUM(Sayfa1!G109:G132)</f>
        <v>0</v>
      </c>
    </row>
    <row r="133" spans="1:9" x14ac:dyDescent="0.3">
      <c r="A133">
        <v>-118.75</v>
      </c>
      <c r="B133">
        <v>34.25</v>
      </c>
      <c r="C133">
        <v>2025</v>
      </c>
      <c r="D133">
        <v>1</v>
      </c>
      <c r="E133">
        <v>6</v>
      </c>
      <c r="F133">
        <f>Sayfa1!C133-273.15</f>
        <v>19.593164062500023</v>
      </c>
      <c r="G133">
        <v>68.1143798828125</v>
      </c>
      <c r="H133">
        <f>SQRT(Sayfa1!D133^2+Sayfa1!E133^2)</f>
        <v>2.3291189477479612</v>
      </c>
      <c r="I133">
        <f>SUM(Sayfa1!G110:G133)</f>
        <v>0</v>
      </c>
    </row>
    <row r="134" spans="1:9" x14ac:dyDescent="0.3">
      <c r="A134">
        <v>-118.75</v>
      </c>
      <c r="B134">
        <v>34.25</v>
      </c>
      <c r="C134">
        <v>2025</v>
      </c>
      <c r="D134">
        <v>1</v>
      </c>
      <c r="E134">
        <v>6</v>
      </c>
      <c r="F134">
        <f>Sayfa1!C134-273.15</f>
        <v>19.290429687500023</v>
      </c>
      <c r="G134">
        <v>68.356338500976563</v>
      </c>
      <c r="H134">
        <f>SQRT(Sayfa1!D134^2+Sayfa1!E134^2)</f>
        <v>2.4302576552635609</v>
      </c>
      <c r="I134">
        <f>SUM(Sayfa1!G111:G134)</f>
        <v>0</v>
      </c>
    </row>
    <row r="135" spans="1:9" x14ac:dyDescent="0.3">
      <c r="A135">
        <v>-118.75</v>
      </c>
      <c r="B135">
        <v>34.25</v>
      </c>
      <c r="C135">
        <v>2025</v>
      </c>
      <c r="D135">
        <v>1</v>
      </c>
      <c r="E135">
        <v>6</v>
      </c>
      <c r="F135">
        <f>Sayfa1!C135-273.15</f>
        <v>19.197290039062523</v>
      </c>
      <c r="G135">
        <v>68.868301391601563</v>
      </c>
      <c r="H135">
        <f>SQRT(Sayfa1!D135^2+Sayfa1!E135^2)</f>
        <v>2.5165100699506953</v>
      </c>
      <c r="I135">
        <f>SUM(Sayfa1!G112:G135)</f>
        <v>0</v>
      </c>
    </row>
    <row r="136" spans="1:9" x14ac:dyDescent="0.3">
      <c r="A136">
        <v>-118.75</v>
      </c>
      <c r="B136">
        <v>34.25</v>
      </c>
      <c r="C136">
        <v>2025</v>
      </c>
      <c r="D136">
        <v>1</v>
      </c>
      <c r="E136">
        <v>6</v>
      </c>
      <c r="F136">
        <f>Sayfa1!C136-273.15</f>
        <v>19.171533203125023</v>
      </c>
      <c r="G136">
        <v>69.182846069335938</v>
      </c>
      <c r="H136">
        <f>SQRT(Sayfa1!D136^2+Sayfa1!E136^2)</f>
        <v>2.484055629640836</v>
      </c>
      <c r="I136">
        <f>SUM(Sayfa1!G113:G136)</f>
        <v>0</v>
      </c>
    </row>
    <row r="137" spans="1:9" x14ac:dyDescent="0.3">
      <c r="A137">
        <v>-118.75</v>
      </c>
      <c r="B137">
        <v>34.25</v>
      </c>
      <c r="C137">
        <v>2025</v>
      </c>
      <c r="D137">
        <v>1</v>
      </c>
      <c r="E137">
        <v>6</v>
      </c>
      <c r="F137">
        <f>Sayfa1!C137-273.15</f>
        <v>18.948632812500023</v>
      </c>
      <c r="G137">
        <v>68.785842895507813</v>
      </c>
      <c r="H137">
        <f>SQRT(Sayfa1!D137^2+Sayfa1!E137^2)</f>
        <v>2.4751873196251046</v>
      </c>
      <c r="I137">
        <f>SUM(Sayfa1!G114:G137)</f>
        <v>0</v>
      </c>
    </row>
    <row r="138" spans="1:9" x14ac:dyDescent="0.3">
      <c r="A138">
        <v>-118.75</v>
      </c>
      <c r="B138">
        <v>34.25</v>
      </c>
      <c r="C138">
        <v>2025</v>
      </c>
      <c r="D138">
        <v>1</v>
      </c>
      <c r="E138">
        <v>6</v>
      </c>
      <c r="F138">
        <f>Sayfa1!C138-273.15</f>
        <v>18.867578125000023</v>
      </c>
      <c r="G138">
        <v>63.563079833984375</v>
      </c>
      <c r="H138">
        <f>SQRT(Sayfa1!D138^2+Sayfa1!E138^2)</f>
        <v>2.2110567530936982</v>
      </c>
      <c r="I138">
        <f>SUM(Sayfa1!G115:G138)</f>
        <v>0</v>
      </c>
    </row>
    <row r="139" spans="1:9" x14ac:dyDescent="0.3">
      <c r="A139">
        <v>-118.75</v>
      </c>
      <c r="B139">
        <v>34.25</v>
      </c>
      <c r="C139">
        <v>2025</v>
      </c>
      <c r="D139">
        <v>1</v>
      </c>
      <c r="E139">
        <v>6</v>
      </c>
      <c r="F139">
        <f>Sayfa1!C139-273.15</f>
        <v>19.052636718750023</v>
      </c>
      <c r="G139">
        <v>52.8009033203125</v>
      </c>
      <c r="H139">
        <f>SQRT(Sayfa1!D139^2+Sayfa1!E139^2)</f>
        <v>1.6164258059928016</v>
      </c>
      <c r="I139">
        <f>SUM(Sayfa1!G116:G139)</f>
        <v>0</v>
      </c>
    </row>
    <row r="140" spans="1:9" x14ac:dyDescent="0.3">
      <c r="A140">
        <v>-118.75</v>
      </c>
      <c r="B140">
        <v>34.25</v>
      </c>
      <c r="C140">
        <v>2025</v>
      </c>
      <c r="D140">
        <v>1</v>
      </c>
      <c r="E140">
        <v>6</v>
      </c>
      <c r="F140">
        <f>Sayfa1!C140-273.15</f>
        <v>19.231835937500023</v>
      </c>
      <c r="G140">
        <v>38.636505126953125</v>
      </c>
      <c r="H140">
        <f>SQRT(Sayfa1!D140^2+Sayfa1!E140^2)</f>
        <v>1.0516361690438456</v>
      </c>
      <c r="I140">
        <f>SUM(Sayfa1!G117:G140)</f>
        <v>0</v>
      </c>
    </row>
    <row r="141" spans="1:9" x14ac:dyDescent="0.3">
      <c r="A141">
        <v>-118.75</v>
      </c>
      <c r="B141">
        <v>34.25</v>
      </c>
      <c r="C141">
        <v>2025</v>
      </c>
      <c r="D141">
        <v>1</v>
      </c>
      <c r="E141">
        <v>6</v>
      </c>
      <c r="F141">
        <f>Sayfa1!C141-273.15</f>
        <v>20.431787109375023</v>
      </c>
      <c r="G141">
        <v>28.250823974609375</v>
      </c>
      <c r="H141">
        <f>SQRT(Sayfa1!D141^2+Sayfa1!E141^2)</f>
        <v>0.36727795761192367</v>
      </c>
      <c r="I141">
        <f>SUM(Sayfa1!G118:G141)</f>
        <v>0</v>
      </c>
    </row>
    <row r="142" spans="1:9" x14ac:dyDescent="0.3">
      <c r="A142">
        <v>-118.75</v>
      </c>
      <c r="B142">
        <v>34.25</v>
      </c>
      <c r="C142">
        <v>2025</v>
      </c>
      <c r="D142">
        <v>1</v>
      </c>
      <c r="E142">
        <v>6</v>
      </c>
      <c r="F142">
        <f>Sayfa1!C142-273.15</f>
        <v>21.338891601562523</v>
      </c>
      <c r="G142">
        <v>26.520858764648438</v>
      </c>
      <c r="H142">
        <f>SQRT(Sayfa1!D142^2+Sayfa1!E142^2)</f>
        <v>1.3431423660121857</v>
      </c>
      <c r="I142">
        <f>SUM(Sayfa1!G119:G142)</f>
        <v>0</v>
      </c>
    </row>
    <row r="143" spans="1:9" x14ac:dyDescent="0.3">
      <c r="A143">
        <v>-118.75</v>
      </c>
      <c r="B143">
        <v>34.25</v>
      </c>
      <c r="C143">
        <v>2025</v>
      </c>
      <c r="D143">
        <v>1</v>
      </c>
      <c r="E143">
        <v>6</v>
      </c>
      <c r="F143">
        <f>Sayfa1!C143-273.15</f>
        <v>21.677392578125023</v>
      </c>
      <c r="G143">
        <v>27.15765380859375</v>
      </c>
      <c r="H143">
        <f>SQRT(Sayfa1!D143^2+Sayfa1!E143^2)</f>
        <v>1.511670057919674</v>
      </c>
      <c r="I143">
        <f>SUM(Sayfa1!G120:G143)</f>
        <v>0</v>
      </c>
    </row>
    <row r="144" spans="1:9" x14ac:dyDescent="0.3">
      <c r="A144">
        <v>-118.75</v>
      </c>
      <c r="B144">
        <v>34.25</v>
      </c>
      <c r="C144">
        <v>2025</v>
      </c>
      <c r="D144">
        <v>1</v>
      </c>
      <c r="E144">
        <v>6</v>
      </c>
      <c r="F144">
        <f>Sayfa1!C144-273.15</f>
        <v>21.705102539062523</v>
      </c>
      <c r="G144">
        <v>27.9130859375</v>
      </c>
      <c r="H144">
        <f>SQRT(Sayfa1!D144^2+Sayfa1!E144^2)</f>
        <v>1.5846777453332246</v>
      </c>
      <c r="I144">
        <f>SUM(Sayfa1!G121:G144)</f>
        <v>0</v>
      </c>
    </row>
    <row r="145" spans="1:9" x14ac:dyDescent="0.3">
      <c r="A145">
        <v>-118.75</v>
      </c>
      <c r="B145">
        <v>34.25</v>
      </c>
      <c r="C145">
        <v>2025</v>
      </c>
      <c r="D145">
        <v>1</v>
      </c>
      <c r="E145">
        <v>6</v>
      </c>
      <c r="F145">
        <f>Sayfa1!C145-273.15</f>
        <v>21.324609375000023</v>
      </c>
      <c r="G145">
        <v>30.535675048828125</v>
      </c>
      <c r="H145">
        <f>SQRT(Sayfa1!D145^2+Sayfa1!E145^2)</f>
        <v>1.5770014503944276</v>
      </c>
      <c r="I145">
        <f>SUM(Sayfa1!G122:G145)</f>
        <v>0</v>
      </c>
    </row>
    <row r="146" spans="1:9" x14ac:dyDescent="0.3">
      <c r="A146">
        <v>-118.75</v>
      </c>
      <c r="B146">
        <v>34.25</v>
      </c>
      <c r="C146">
        <v>2025</v>
      </c>
      <c r="D146">
        <v>1</v>
      </c>
      <c r="E146">
        <v>7</v>
      </c>
      <c r="F146">
        <f>Sayfa1!C146-273.15</f>
        <v>20.571191406250023</v>
      </c>
      <c r="G146">
        <v>34.919906616210938</v>
      </c>
      <c r="H146">
        <f>SQRT(Sayfa1!D146^2+Sayfa1!E146^2)</f>
        <v>0.76231102169883713</v>
      </c>
      <c r="I146">
        <f>SUM(Sayfa1!G123:G146)</f>
        <v>0</v>
      </c>
    </row>
    <row r="147" spans="1:9" x14ac:dyDescent="0.3">
      <c r="A147">
        <v>-118.75</v>
      </c>
      <c r="B147">
        <v>34.25</v>
      </c>
      <c r="C147">
        <v>2025</v>
      </c>
      <c r="D147">
        <v>1</v>
      </c>
      <c r="E147">
        <v>7</v>
      </c>
      <c r="F147">
        <f>Sayfa1!C147-273.15</f>
        <v>20.163720703125023</v>
      </c>
      <c r="G147">
        <v>40.974807739257813</v>
      </c>
      <c r="H147">
        <f>SQRT(Sayfa1!D147^2+Sayfa1!E147^2)</f>
        <v>0.59477493014285321</v>
      </c>
      <c r="I147">
        <f>SUM(Sayfa1!G124:G147)</f>
        <v>0</v>
      </c>
    </row>
    <row r="148" spans="1:9" x14ac:dyDescent="0.3">
      <c r="A148">
        <v>-118.75</v>
      </c>
      <c r="B148">
        <v>34.25</v>
      </c>
      <c r="C148">
        <v>2025</v>
      </c>
      <c r="D148">
        <v>1</v>
      </c>
      <c r="E148">
        <v>7</v>
      </c>
      <c r="F148">
        <f>Sayfa1!C148-273.15</f>
        <v>19.808374023437523</v>
      </c>
      <c r="G148">
        <v>45.72222900390625</v>
      </c>
      <c r="H148">
        <f>SQRT(Sayfa1!D148^2+Sayfa1!E148^2)</f>
        <v>0.27510035973582436</v>
      </c>
      <c r="I148">
        <f>SUM(Sayfa1!G125:G148)</f>
        <v>0</v>
      </c>
    </row>
    <row r="149" spans="1:9" x14ac:dyDescent="0.3">
      <c r="A149">
        <v>-118.75</v>
      </c>
      <c r="B149">
        <v>34.25</v>
      </c>
      <c r="C149">
        <v>2025</v>
      </c>
      <c r="D149">
        <v>1</v>
      </c>
      <c r="E149">
        <v>7</v>
      </c>
      <c r="F149">
        <f>Sayfa1!C149-273.15</f>
        <v>19.074853515625023</v>
      </c>
      <c r="G149">
        <v>50.053924560546875</v>
      </c>
      <c r="H149">
        <f>SQRT(Sayfa1!D149^2+Sayfa1!E149^2)</f>
        <v>0.65153888862152465</v>
      </c>
      <c r="I149">
        <f>SUM(Sayfa1!G126:G149)</f>
        <v>0</v>
      </c>
    </row>
    <row r="150" spans="1:9" x14ac:dyDescent="0.3">
      <c r="A150">
        <v>-118.75</v>
      </c>
      <c r="B150">
        <v>34.25</v>
      </c>
      <c r="C150">
        <v>2025</v>
      </c>
      <c r="D150">
        <v>1</v>
      </c>
      <c r="E150">
        <v>7</v>
      </c>
      <c r="F150">
        <f>Sayfa1!C150-273.15</f>
        <v>18.405664062500023</v>
      </c>
      <c r="G150">
        <v>53.867050170898438</v>
      </c>
      <c r="H150">
        <f>SQRT(Sayfa1!D150^2+Sayfa1!E150^2)</f>
        <v>1.159514779864935</v>
      </c>
      <c r="I150">
        <f>SUM(Sayfa1!G127:G150)</f>
        <v>0</v>
      </c>
    </row>
    <row r="151" spans="1:9" x14ac:dyDescent="0.3">
      <c r="A151">
        <v>-118.75</v>
      </c>
      <c r="B151">
        <v>34.25</v>
      </c>
      <c r="C151">
        <v>2025</v>
      </c>
      <c r="D151">
        <v>1</v>
      </c>
      <c r="E151">
        <v>7</v>
      </c>
      <c r="F151">
        <f>Sayfa1!C151-273.15</f>
        <v>17.770898437500023</v>
      </c>
      <c r="G151">
        <v>56.603363037109375</v>
      </c>
      <c r="H151">
        <f>SQRT(Sayfa1!D151^2+Sayfa1!E151^2)</f>
        <v>1.5739274537856953</v>
      </c>
      <c r="I151">
        <f>SUM(Sayfa1!G128:G151)</f>
        <v>0</v>
      </c>
    </row>
    <row r="152" spans="1:9" x14ac:dyDescent="0.3">
      <c r="A152">
        <v>-118.75</v>
      </c>
      <c r="B152">
        <v>34.25</v>
      </c>
      <c r="C152">
        <v>2025</v>
      </c>
      <c r="D152">
        <v>1</v>
      </c>
      <c r="E152">
        <v>7</v>
      </c>
      <c r="F152">
        <f>Sayfa1!C152-273.15</f>
        <v>17.393212890625023</v>
      </c>
      <c r="G152">
        <v>59.00933837890625</v>
      </c>
      <c r="H152">
        <f>SQRT(Sayfa1!D152^2+Sayfa1!E152^2)</f>
        <v>1.8021949208130199</v>
      </c>
      <c r="I152">
        <f>SUM(Sayfa1!G129:G152)</f>
        <v>0</v>
      </c>
    </row>
    <row r="153" spans="1:9" x14ac:dyDescent="0.3">
      <c r="A153">
        <v>-118.75</v>
      </c>
      <c r="B153">
        <v>34.25</v>
      </c>
      <c r="C153">
        <v>2025</v>
      </c>
      <c r="D153">
        <v>1</v>
      </c>
      <c r="E153">
        <v>7</v>
      </c>
      <c r="F153">
        <f>Sayfa1!C153-273.15</f>
        <v>16.737634277343773</v>
      </c>
      <c r="G153">
        <v>61.48089599609375</v>
      </c>
      <c r="H153">
        <f>SQRT(Sayfa1!D153^2+Sayfa1!E153^2)</f>
        <v>2.1334437898412815</v>
      </c>
      <c r="I153">
        <f>SUM(Sayfa1!G130:G153)</f>
        <v>0</v>
      </c>
    </row>
    <row r="154" spans="1:9" x14ac:dyDescent="0.3">
      <c r="A154">
        <v>-118.75</v>
      </c>
      <c r="B154">
        <v>34.25</v>
      </c>
      <c r="C154">
        <v>2025</v>
      </c>
      <c r="D154">
        <v>1</v>
      </c>
      <c r="E154">
        <v>7</v>
      </c>
      <c r="F154">
        <f>Sayfa1!C154-273.15</f>
        <v>16.301416015625023</v>
      </c>
      <c r="G154">
        <v>63.815811157226563</v>
      </c>
      <c r="H154">
        <f>SQRT(Sayfa1!D154^2+Sayfa1!E154^2)</f>
        <v>2.3001531060137044</v>
      </c>
      <c r="I154">
        <f>SUM(Sayfa1!G131:G154)</f>
        <v>0</v>
      </c>
    </row>
    <row r="155" spans="1:9" x14ac:dyDescent="0.3">
      <c r="A155">
        <v>-118.75</v>
      </c>
      <c r="B155">
        <v>34.25</v>
      </c>
      <c r="C155">
        <v>2025</v>
      </c>
      <c r="D155">
        <v>1</v>
      </c>
      <c r="E155">
        <v>7</v>
      </c>
      <c r="F155">
        <f>Sayfa1!C155-273.15</f>
        <v>15.676354980468773</v>
      </c>
      <c r="G155">
        <v>67.718734741210938</v>
      </c>
      <c r="H155">
        <f>SQRT(Sayfa1!D155^2+Sayfa1!E155^2)</f>
        <v>2.4296686900141333</v>
      </c>
      <c r="I155">
        <f>SUM(Sayfa1!G132:G155)</f>
        <v>0</v>
      </c>
    </row>
    <row r="156" spans="1:9" x14ac:dyDescent="0.3">
      <c r="A156">
        <v>-118.75</v>
      </c>
      <c r="B156">
        <v>34.25</v>
      </c>
      <c r="C156">
        <v>2025</v>
      </c>
      <c r="D156">
        <v>1</v>
      </c>
      <c r="E156">
        <v>7</v>
      </c>
      <c r="F156">
        <f>Sayfa1!C156-273.15</f>
        <v>16.356469726562523</v>
      </c>
      <c r="G156">
        <v>61.6292724609375</v>
      </c>
      <c r="H156">
        <f>SQRT(Sayfa1!D156^2+Sayfa1!E156^2)</f>
        <v>2.4478427275205483</v>
      </c>
      <c r="I156">
        <f>SUM(Sayfa1!G133:G156)</f>
        <v>0</v>
      </c>
    </row>
    <row r="157" spans="1:9" x14ac:dyDescent="0.3">
      <c r="A157">
        <v>-118.75</v>
      </c>
      <c r="B157">
        <v>34.25</v>
      </c>
      <c r="C157">
        <v>2025</v>
      </c>
      <c r="D157">
        <v>1</v>
      </c>
      <c r="E157">
        <v>7</v>
      </c>
      <c r="F157">
        <f>Sayfa1!C157-273.15</f>
        <v>15.879296875000023</v>
      </c>
      <c r="G157">
        <v>66.210205078125</v>
      </c>
      <c r="H157">
        <f>SQRT(Sayfa1!D157^2+Sayfa1!E157^2)</f>
        <v>2.579253020835214</v>
      </c>
      <c r="I157">
        <f>SUM(Sayfa1!G134:G157)</f>
        <v>0</v>
      </c>
    </row>
    <row r="158" spans="1:9" x14ac:dyDescent="0.3">
      <c r="A158">
        <v>-118.75</v>
      </c>
      <c r="B158">
        <v>34.25</v>
      </c>
      <c r="C158">
        <v>2025</v>
      </c>
      <c r="D158">
        <v>1</v>
      </c>
      <c r="E158">
        <v>7</v>
      </c>
      <c r="F158">
        <f>Sayfa1!C158-273.15</f>
        <v>15.794274902343773</v>
      </c>
      <c r="G158">
        <v>69.921981811523438</v>
      </c>
      <c r="H158">
        <f>SQRT(Sayfa1!D158^2+Sayfa1!E158^2)</f>
        <v>2.6944650441163716</v>
      </c>
      <c r="I158">
        <f>SUM(Sayfa1!G135:G158)</f>
        <v>0</v>
      </c>
    </row>
    <row r="159" spans="1:9" x14ac:dyDescent="0.3">
      <c r="A159">
        <v>-118.75</v>
      </c>
      <c r="B159">
        <v>34.25</v>
      </c>
      <c r="C159">
        <v>2025</v>
      </c>
      <c r="D159">
        <v>1</v>
      </c>
      <c r="E159">
        <v>7</v>
      </c>
      <c r="F159">
        <f>Sayfa1!C159-273.15</f>
        <v>16.623193359375023</v>
      </c>
      <c r="G159">
        <v>71.054168701171875</v>
      </c>
      <c r="H159">
        <f>SQRT(Sayfa1!D159^2+Sayfa1!E159^2)</f>
        <v>2.7234558089071599</v>
      </c>
      <c r="I159">
        <f>SUM(Sayfa1!G136:G159)</f>
        <v>0</v>
      </c>
    </row>
    <row r="160" spans="1:9" x14ac:dyDescent="0.3">
      <c r="A160">
        <v>-118.75</v>
      </c>
      <c r="B160">
        <v>34.25</v>
      </c>
      <c r="C160">
        <v>2025</v>
      </c>
      <c r="D160">
        <v>1</v>
      </c>
      <c r="E160">
        <v>7</v>
      </c>
      <c r="F160">
        <f>Sayfa1!C160-273.15</f>
        <v>16.514916992187523</v>
      </c>
      <c r="G160">
        <v>70.711212158203125</v>
      </c>
      <c r="H160">
        <f>SQRT(Sayfa1!D160^2+Sayfa1!E160^2)</f>
        <v>3.0432223619006877</v>
      </c>
      <c r="I160">
        <f>SUM(Sayfa1!G137:G160)</f>
        <v>0</v>
      </c>
    </row>
    <row r="161" spans="1:9" x14ac:dyDescent="0.3">
      <c r="A161">
        <v>-118.75</v>
      </c>
      <c r="B161">
        <v>34.25</v>
      </c>
      <c r="C161">
        <v>2025</v>
      </c>
      <c r="D161">
        <v>1</v>
      </c>
      <c r="E161">
        <v>7</v>
      </c>
      <c r="F161">
        <f>Sayfa1!C161-273.15</f>
        <v>15.469750976562523</v>
      </c>
      <c r="G161">
        <v>63.483261108398438</v>
      </c>
      <c r="H161">
        <f>SQRT(Sayfa1!D161^2+Sayfa1!E161^2)</f>
        <v>3.2351372032429895</v>
      </c>
      <c r="I161">
        <f>SUM(Sayfa1!G138:G161)</f>
        <v>0</v>
      </c>
    </row>
    <row r="162" spans="1:9" x14ac:dyDescent="0.3">
      <c r="A162">
        <v>-118.75</v>
      </c>
      <c r="B162">
        <v>34.25</v>
      </c>
      <c r="C162">
        <v>2025</v>
      </c>
      <c r="D162">
        <v>1</v>
      </c>
      <c r="E162">
        <v>7</v>
      </c>
      <c r="F162">
        <f>Sayfa1!C162-273.15</f>
        <v>14.711267089843773</v>
      </c>
      <c r="G162">
        <v>50.580978393554688</v>
      </c>
      <c r="H162">
        <f>SQRT(Sayfa1!D162^2+Sayfa1!E162^2)</f>
        <v>4.227400280506707</v>
      </c>
      <c r="I162">
        <f>SUM(Sayfa1!G139:G162)</f>
        <v>0</v>
      </c>
    </row>
    <row r="163" spans="1:9" x14ac:dyDescent="0.3">
      <c r="A163">
        <v>-118.75</v>
      </c>
      <c r="B163">
        <v>34.25</v>
      </c>
      <c r="C163">
        <v>2025</v>
      </c>
      <c r="D163">
        <v>1</v>
      </c>
      <c r="E163">
        <v>7</v>
      </c>
      <c r="F163">
        <f>Sayfa1!C163-273.15</f>
        <v>15.130944824218773</v>
      </c>
      <c r="G163">
        <v>44.5933837890625</v>
      </c>
      <c r="H163">
        <f>SQRT(Sayfa1!D163^2+Sayfa1!E163^2)</f>
        <v>4.95254662727588</v>
      </c>
      <c r="I163">
        <f>SUM(Sayfa1!G140:G163)</f>
        <v>0</v>
      </c>
    </row>
    <row r="164" spans="1:9" x14ac:dyDescent="0.3">
      <c r="A164">
        <v>-118.75</v>
      </c>
      <c r="B164">
        <v>34.25</v>
      </c>
      <c r="C164">
        <v>2025</v>
      </c>
      <c r="D164">
        <v>1</v>
      </c>
      <c r="E164">
        <v>7</v>
      </c>
      <c r="F164">
        <f>Sayfa1!C164-273.15</f>
        <v>15.878503417968773</v>
      </c>
      <c r="G164">
        <v>39.054779052734375</v>
      </c>
      <c r="H164">
        <f>SQRT(Sayfa1!D164^2+Sayfa1!E164^2)</f>
        <v>6.3557867910346815</v>
      </c>
      <c r="I164">
        <f>SUM(Sayfa1!G141:G164)</f>
        <v>0</v>
      </c>
    </row>
    <row r="165" spans="1:9" x14ac:dyDescent="0.3">
      <c r="A165">
        <v>-118.75</v>
      </c>
      <c r="B165">
        <v>34.25</v>
      </c>
      <c r="C165">
        <v>2025</v>
      </c>
      <c r="D165">
        <v>1</v>
      </c>
      <c r="E165">
        <v>7</v>
      </c>
      <c r="F165">
        <f>Sayfa1!C165-273.15</f>
        <v>16.926721191406273</v>
      </c>
      <c r="G165">
        <v>33.331558227539063</v>
      </c>
      <c r="H165">
        <f>SQRT(Sayfa1!D165^2+Sayfa1!E165^2)</f>
        <v>6.4011269056920437</v>
      </c>
      <c r="I165">
        <f>SUM(Sayfa1!G142:G165)</f>
        <v>0</v>
      </c>
    </row>
    <row r="166" spans="1:9" x14ac:dyDescent="0.3">
      <c r="A166">
        <v>-118.75</v>
      </c>
      <c r="B166">
        <v>34.25</v>
      </c>
      <c r="C166">
        <v>2025</v>
      </c>
      <c r="D166">
        <v>1</v>
      </c>
      <c r="E166">
        <v>7</v>
      </c>
      <c r="F166">
        <f>Sayfa1!C166-273.15</f>
        <v>17.957849121093773</v>
      </c>
      <c r="G166">
        <v>27.543212890625</v>
      </c>
      <c r="H166">
        <f>SQRT(Sayfa1!D166^2+Sayfa1!E166^2)</f>
        <v>6.4349836466439747</v>
      </c>
      <c r="I166">
        <f>SUM(Sayfa1!G143:G166)</f>
        <v>0</v>
      </c>
    </row>
    <row r="167" spans="1:9" x14ac:dyDescent="0.3">
      <c r="A167">
        <v>-118.75</v>
      </c>
      <c r="B167">
        <v>34.25</v>
      </c>
      <c r="C167">
        <v>2025</v>
      </c>
      <c r="D167">
        <v>1</v>
      </c>
      <c r="E167">
        <v>7</v>
      </c>
      <c r="F167">
        <f>Sayfa1!C167-273.15</f>
        <v>18.662988281250023</v>
      </c>
      <c r="G167">
        <v>22.477615356445313</v>
      </c>
      <c r="H167">
        <f>SQRT(Sayfa1!D167^2+Sayfa1!E167^2)</f>
        <v>6.5153720095522152</v>
      </c>
      <c r="I167">
        <f>SUM(Sayfa1!G144:G167)</f>
        <v>0</v>
      </c>
    </row>
    <row r="168" spans="1:9" x14ac:dyDescent="0.3">
      <c r="A168">
        <v>-118.75</v>
      </c>
      <c r="B168">
        <v>34.25</v>
      </c>
      <c r="C168">
        <v>2025</v>
      </c>
      <c r="D168">
        <v>1</v>
      </c>
      <c r="E168">
        <v>7</v>
      </c>
      <c r="F168">
        <f>Sayfa1!C168-273.15</f>
        <v>18.691552734375023</v>
      </c>
      <c r="G168">
        <v>20.397903442382813</v>
      </c>
      <c r="H168">
        <f>SQRT(Sayfa1!D168^2+Sayfa1!E168^2)</f>
        <v>6.5781635847978972</v>
      </c>
      <c r="I168">
        <f>SUM(Sayfa1!G145:G168)</f>
        <v>0</v>
      </c>
    </row>
    <row r="169" spans="1:9" x14ac:dyDescent="0.3">
      <c r="A169">
        <v>-118.75</v>
      </c>
      <c r="B169">
        <v>34.25</v>
      </c>
      <c r="C169">
        <v>2025</v>
      </c>
      <c r="D169">
        <v>1</v>
      </c>
      <c r="E169">
        <v>7</v>
      </c>
      <c r="F169">
        <f>Sayfa1!C169-273.15</f>
        <v>18.751977539062523</v>
      </c>
      <c r="G169">
        <v>20.337045669555664</v>
      </c>
      <c r="H169">
        <f>SQRT(Sayfa1!D169^2+Sayfa1!E169^2)</f>
        <v>5.8577278314441097</v>
      </c>
      <c r="I169">
        <f>SUM(Sayfa1!G146:G169)</f>
        <v>0</v>
      </c>
    </row>
    <row r="170" spans="1:9" x14ac:dyDescent="0.3">
      <c r="A170">
        <v>-118.75</v>
      </c>
      <c r="B170">
        <v>34.25</v>
      </c>
      <c r="C170">
        <v>2025</v>
      </c>
      <c r="D170">
        <v>1</v>
      </c>
      <c r="E170">
        <v>8</v>
      </c>
      <c r="F170">
        <f>Sayfa1!C170-273.15</f>
        <v>18.463098144531273</v>
      </c>
      <c r="G170">
        <v>23.310577392578125</v>
      </c>
      <c r="H170">
        <f>SQRT(Sayfa1!D170^2+Sayfa1!E170^2)</f>
        <v>4.8936455921723265</v>
      </c>
      <c r="I170">
        <f>SUM(Sayfa1!G147:G170)</f>
        <v>0</v>
      </c>
    </row>
    <row r="171" spans="1:9" x14ac:dyDescent="0.3">
      <c r="A171">
        <v>-118.75</v>
      </c>
      <c r="B171">
        <v>34.25</v>
      </c>
      <c r="C171">
        <v>2025</v>
      </c>
      <c r="D171">
        <v>1</v>
      </c>
      <c r="E171">
        <v>8</v>
      </c>
      <c r="F171">
        <f>Sayfa1!C171-273.15</f>
        <v>17.685083007812523</v>
      </c>
      <c r="G171">
        <v>30.51849365234375</v>
      </c>
      <c r="H171">
        <f>SQRT(Sayfa1!D171^2+Sayfa1!E171^2)</f>
        <v>3.8901120317400464</v>
      </c>
      <c r="I171">
        <f>SUM(Sayfa1!G148:G171)</f>
        <v>0</v>
      </c>
    </row>
    <row r="172" spans="1:9" x14ac:dyDescent="0.3">
      <c r="A172">
        <v>-118.75</v>
      </c>
      <c r="B172">
        <v>34.25</v>
      </c>
      <c r="C172">
        <v>2025</v>
      </c>
      <c r="D172">
        <v>1</v>
      </c>
      <c r="E172">
        <v>8</v>
      </c>
      <c r="F172">
        <f>Sayfa1!C172-273.15</f>
        <v>16.761254882812523</v>
      </c>
      <c r="G172">
        <v>37.392074584960938</v>
      </c>
      <c r="H172">
        <f>SQRT(Sayfa1!D172^2+Sayfa1!E172^2)</f>
        <v>3.9591036484784632</v>
      </c>
      <c r="I172">
        <f>SUM(Sayfa1!G149:G172)</f>
        <v>0</v>
      </c>
    </row>
    <row r="173" spans="1:9" x14ac:dyDescent="0.3">
      <c r="A173">
        <v>-118.75</v>
      </c>
      <c r="B173">
        <v>34.25</v>
      </c>
      <c r="C173">
        <v>2025</v>
      </c>
      <c r="D173">
        <v>1</v>
      </c>
      <c r="E173">
        <v>8</v>
      </c>
      <c r="F173">
        <f>Sayfa1!C173-273.15</f>
        <v>15.937158203125023</v>
      </c>
      <c r="G173">
        <v>42.256313323974609</v>
      </c>
      <c r="H173">
        <f>SQRT(Sayfa1!D173^2+Sayfa1!E173^2)</f>
        <v>4.1633999829336714</v>
      </c>
      <c r="I173">
        <f>SUM(Sayfa1!G150:G173)</f>
        <v>0</v>
      </c>
    </row>
    <row r="174" spans="1:9" x14ac:dyDescent="0.3">
      <c r="A174">
        <v>-118.75</v>
      </c>
      <c r="B174">
        <v>34.25</v>
      </c>
      <c r="C174">
        <v>2025</v>
      </c>
      <c r="D174">
        <v>1</v>
      </c>
      <c r="E174">
        <v>8</v>
      </c>
      <c r="F174">
        <f>Sayfa1!C174-273.15</f>
        <v>15.413720703125023</v>
      </c>
      <c r="G174">
        <v>41.872837066650391</v>
      </c>
      <c r="H174">
        <f>SQRT(Sayfa1!D174^2+Sayfa1!E174^2)</f>
        <v>4.6061205345356528</v>
      </c>
      <c r="I174">
        <f>SUM(Sayfa1!G151:G174)</f>
        <v>0</v>
      </c>
    </row>
    <row r="175" spans="1:9" x14ac:dyDescent="0.3">
      <c r="A175">
        <v>-118.75</v>
      </c>
      <c r="B175">
        <v>34.25</v>
      </c>
      <c r="C175">
        <v>2025</v>
      </c>
      <c r="D175">
        <v>1</v>
      </c>
      <c r="E175">
        <v>8</v>
      </c>
      <c r="F175">
        <f>Sayfa1!C175-273.15</f>
        <v>15.118310546875023</v>
      </c>
      <c r="G175">
        <v>36.749359130859375</v>
      </c>
      <c r="H175">
        <f>SQRT(Sayfa1!D175^2+Sayfa1!E175^2)</f>
        <v>5.3066541047586684</v>
      </c>
      <c r="I175">
        <f>SUM(Sayfa1!G152:G175)</f>
        <v>0</v>
      </c>
    </row>
    <row r="176" spans="1:9" x14ac:dyDescent="0.3">
      <c r="A176">
        <v>-118.75</v>
      </c>
      <c r="B176">
        <v>34.25</v>
      </c>
      <c r="C176">
        <v>2025</v>
      </c>
      <c r="D176">
        <v>1</v>
      </c>
      <c r="E176">
        <v>8</v>
      </c>
      <c r="F176">
        <f>Sayfa1!C176-273.15</f>
        <v>14.910485839843773</v>
      </c>
      <c r="G176">
        <v>31.648147583007813</v>
      </c>
      <c r="H176">
        <f>SQRT(Sayfa1!D176^2+Sayfa1!E176^2)</f>
        <v>6.0235566766074644</v>
      </c>
      <c r="I176">
        <f>SUM(Sayfa1!G153:G176)</f>
        <v>0</v>
      </c>
    </row>
    <row r="177" spans="1:9" x14ac:dyDescent="0.3">
      <c r="A177">
        <v>-118.75</v>
      </c>
      <c r="B177">
        <v>34.25</v>
      </c>
      <c r="C177">
        <v>2025</v>
      </c>
      <c r="D177">
        <v>1</v>
      </c>
      <c r="E177">
        <v>8</v>
      </c>
      <c r="F177">
        <f>Sayfa1!C177-273.15</f>
        <v>14.651696777343773</v>
      </c>
      <c r="G177">
        <v>25.276107788085938</v>
      </c>
      <c r="H177">
        <f>SQRT(Sayfa1!D177^2+Sayfa1!E177^2)</f>
        <v>6.4630540873291551</v>
      </c>
      <c r="I177">
        <f>SUM(Sayfa1!G154:G177)</f>
        <v>0</v>
      </c>
    </row>
    <row r="178" spans="1:9" x14ac:dyDescent="0.3">
      <c r="A178">
        <v>-118.75</v>
      </c>
      <c r="B178">
        <v>34.25</v>
      </c>
      <c r="C178">
        <v>2025</v>
      </c>
      <c r="D178">
        <v>1</v>
      </c>
      <c r="E178">
        <v>8</v>
      </c>
      <c r="F178">
        <f>Sayfa1!C178-273.15</f>
        <v>14.438500976562523</v>
      </c>
      <c r="G178">
        <v>20.862712860107422</v>
      </c>
      <c r="H178">
        <f>SQRT(Sayfa1!D178^2+Sayfa1!E178^2)</f>
        <v>6.6289083136480578</v>
      </c>
      <c r="I178">
        <f>SUM(Sayfa1!G155:G178)</f>
        <v>0</v>
      </c>
    </row>
    <row r="179" spans="1:9" x14ac:dyDescent="0.3">
      <c r="A179">
        <v>-118.75</v>
      </c>
      <c r="B179">
        <v>34.25</v>
      </c>
      <c r="C179">
        <v>2025</v>
      </c>
      <c r="D179">
        <v>1</v>
      </c>
      <c r="E179">
        <v>8</v>
      </c>
      <c r="F179">
        <f>Sayfa1!C179-273.15</f>
        <v>14.197167968750023</v>
      </c>
      <c r="G179">
        <v>19.806545257568359</v>
      </c>
      <c r="H179">
        <f>SQRT(Sayfa1!D179^2+Sayfa1!E179^2)</f>
        <v>6.7360294260229088</v>
      </c>
      <c r="I179">
        <f>SUM(Sayfa1!G156:G179)</f>
        <v>0</v>
      </c>
    </row>
    <row r="180" spans="1:9" x14ac:dyDescent="0.3">
      <c r="A180">
        <v>-118.75</v>
      </c>
      <c r="B180">
        <v>34.25</v>
      </c>
      <c r="C180">
        <v>2025</v>
      </c>
      <c r="D180">
        <v>1</v>
      </c>
      <c r="E180">
        <v>8</v>
      </c>
      <c r="F180">
        <f>Sayfa1!C180-273.15</f>
        <v>16.018762207031273</v>
      </c>
      <c r="G180">
        <v>17.562267303466797</v>
      </c>
      <c r="H180">
        <f>SQRT(Sayfa1!D180^2+Sayfa1!E180^2)</f>
        <v>6.6283939622651546</v>
      </c>
      <c r="I180">
        <f>SUM(Sayfa1!G157:G180)</f>
        <v>0</v>
      </c>
    </row>
    <row r="181" spans="1:9" x14ac:dyDescent="0.3">
      <c r="A181">
        <v>-118.75</v>
      </c>
      <c r="B181">
        <v>34.25</v>
      </c>
      <c r="C181">
        <v>2025</v>
      </c>
      <c r="D181">
        <v>1</v>
      </c>
      <c r="E181">
        <v>8</v>
      </c>
      <c r="F181">
        <f>Sayfa1!C181-273.15</f>
        <v>16.178552246093773</v>
      </c>
      <c r="G181">
        <v>16.880390167236328</v>
      </c>
      <c r="H181">
        <f>SQRT(Sayfa1!D181^2+Sayfa1!E181^2)</f>
        <v>6.1599129502419583</v>
      </c>
      <c r="I181">
        <f>SUM(Sayfa1!G158:G181)</f>
        <v>0</v>
      </c>
    </row>
    <row r="182" spans="1:9" x14ac:dyDescent="0.3">
      <c r="A182">
        <v>-118.75</v>
      </c>
      <c r="B182">
        <v>34.25</v>
      </c>
      <c r="C182">
        <v>2025</v>
      </c>
      <c r="D182">
        <v>1</v>
      </c>
      <c r="E182">
        <v>8</v>
      </c>
      <c r="F182">
        <f>Sayfa1!C182-273.15</f>
        <v>16.199304199218773</v>
      </c>
      <c r="G182">
        <v>15.61899471282959</v>
      </c>
      <c r="H182">
        <f>SQRT(Sayfa1!D182^2+Sayfa1!E182^2)</f>
        <v>5.5973059942047074</v>
      </c>
      <c r="I182">
        <f>SUM(Sayfa1!G159:G182)</f>
        <v>0</v>
      </c>
    </row>
    <row r="183" spans="1:9" x14ac:dyDescent="0.3">
      <c r="A183">
        <v>-118.75</v>
      </c>
      <c r="B183">
        <v>34.25</v>
      </c>
      <c r="C183">
        <v>2025</v>
      </c>
      <c r="D183">
        <v>1</v>
      </c>
      <c r="E183">
        <v>8</v>
      </c>
      <c r="F183">
        <f>Sayfa1!C183-273.15</f>
        <v>16.033654785156273</v>
      </c>
      <c r="G183">
        <v>14.634952545166016</v>
      </c>
      <c r="H183">
        <f>SQRT(Sayfa1!D183^2+Sayfa1!E183^2)</f>
        <v>5.0805815510888417</v>
      </c>
      <c r="I183">
        <f>SUM(Sayfa1!G160:G183)</f>
        <v>0</v>
      </c>
    </row>
    <row r="184" spans="1:9" x14ac:dyDescent="0.3">
      <c r="A184">
        <v>-118.75</v>
      </c>
      <c r="B184">
        <v>34.25</v>
      </c>
      <c r="C184">
        <v>2025</v>
      </c>
      <c r="D184">
        <v>1</v>
      </c>
      <c r="E184">
        <v>8</v>
      </c>
      <c r="F184">
        <f>Sayfa1!C184-273.15</f>
        <v>15.815454101562523</v>
      </c>
      <c r="G184">
        <v>13.703291893005371</v>
      </c>
      <c r="H184">
        <f>SQRT(Sayfa1!D184^2+Sayfa1!E184^2)</f>
        <v>4.6623873830502962</v>
      </c>
      <c r="I184">
        <f>SUM(Sayfa1!G161:G184)</f>
        <v>0</v>
      </c>
    </row>
    <row r="185" spans="1:9" x14ac:dyDescent="0.3">
      <c r="A185">
        <v>-118.75</v>
      </c>
      <c r="B185">
        <v>34.25</v>
      </c>
      <c r="C185">
        <v>2025</v>
      </c>
      <c r="D185">
        <v>1</v>
      </c>
      <c r="E185">
        <v>8</v>
      </c>
      <c r="F185">
        <f>Sayfa1!C185-273.15</f>
        <v>15.585595703125023</v>
      </c>
      <c r="G185">
        <v>13.348549842834473</v>
      </c>
      <c r="H185">
        <f>SQRT(Sayfa1!D185^2+Sayfa1!E185^2)</f>
        <v>4.4156773282400694</v>
      </c>
      <c r="I185">
        <f>SUM(Sayfa1!G162:G185)</f>
        <v>0</v>
      </c>
    </row>
    <row r="186" spans="1:9" x14ac:dyDescent="0.3">
      <c r="A186">
        <v>-118.75</v>
      </c>
      <c r="B186">
        <v>34.25</v>
      </c>
      <c r="C186">
        <v>2025</v>
      </c>
      <c r="D186">
        <v>1</v>
      </c>
      <c r="E186">
        <v>8</v>
      </c>
      <c r="F186">
        <f>Sayfa1!C186-273.15</f>
        <v>15.455346679687523</v>
      </c>
      <c r="G186">
        <v>13.680995941162109</v>
      </c>
      <c r="H186">
        <f>SQRT(Sayfa1!D186^2+Sayfa1!E186^2)</f>
        <v>4.6251637275624224</v>
      </c>
      <c r="I186">
        <f>SUM(Sayfa1!G163:G186)</f>
        <v>0</v>
      </c>
    </row>
    <row r="187" spans="1:9" x14ac:dyDescent="0.3">
      <c r="A187">
        <v>-118.75</v>
      </c>
      <c r="B187">
        <v>34.25</v>
      </c>
      <c r="C187">
        <v>2025</v>
      </c>
      <c r="D187">
        <v>1</v>
      </c>
      <c r="E187">
        <v>8</v>
      </c>
      <c r="F187">
        <f>Sayfa1!C187-273.15</f>
        <v>15.757958984375023</v>
      </c>
      <c r="G187">
        <v>13.956188201904297</v>
      </c>
      <c r="H187">
        <f>SQRT(Sayfa1!D187^2+Sayfa1!E187^2)</f>
        <v>4.2549466016048942</v>
      </c>
      <c r="I187">
        <f>SUM(Sayfa1!G164:G187)</f>
        <v>0</v>
      </c>
    </row>
    <row r="188" spans="1:9" x14ac:dyDescent="0.3">
      <c r="A188">
        <v>-118.75</v>
      </c>
      <c r="B188">
        <v>34.25</v>
      </c>
      <c r="C188">
        <v>2025</v>
      </c>
      <c r="D188">
        <v>1</v>
      </c>
      <c r="E188">
        <v>8</v>
      </c>
      <c r="F188">
        <f>Sayfa1!C188-273.15</f>
        <v>16.603906250000023</v>
      </c>
      <c r="G188">
        <v>12.405367851257324</v>
      </c>
      <c r="H188">
        <f>SQRT(Sayfa1!D188^2+Sayfa1!E188^2)</f>
        <v>5.437219693754459</v>
      </c>
      <c r="I188">
        <f>SUM(Sayfa1!G165:G188)</f>
        <v>0</v>
      </c>
    </row>
    <row r="189" spans="1:9" x14ac:dyDescent="0.3">
      <c r="A189">
        <v>-118.75</v>
      </c>
      <c r="B189">
        <v>34.25</v>
      </c>
      <c r="C189">
        <v>2025</v>
      </c>
      <c r="D189">
        <v>1</v>
      </c>
      <c r="E189">
        <v>8</v>
      </c>
      <c r="F189">
        <f>Sayfa1!C189-273.15</f>
        <v>17.712426757812523</v>
      </c>
      <c r="G189">
        <v>10.933303833007813</v>
      </c>
      <c r="H189">
        <f>SQRT(Sayfa1!D189^2+Sayfa1!E189^2)</f>
        <v>6.5095366544603612</v>
      </c>
      <c r="I189">
        <f>SUM(Sayfa1!G166:G189)</f>
        <v>0</v>
      </c>
    </row>
    <row r="190" spans="1:9" x14ac:dyDescent="0.3">
      <c r="A190">
        <v>-118.75</v>
      </c>
      <c r="B190">
        <v>34.25</v>
      </c>
      <c r="C190">
        <v>2025</v>
      </c>
      <c r="D190">
        <v>1</v>
      </c>
      <c r="E190">
        <v>8</v>
      </c>
      <c r="F190">
        <f>Sayfa1!C190-273.15</f>
        <v>18.589990234375023</v>
      </c>
      <c r="G190">
        <v>9.8614740371704102</v>
      </c>
      <c r="H190">
        <f>SQRT(Sayfa1!D190^2+Sayfa1!E190^2)</f>
        <v>6.5270124713552438</v>
      </c>
      <c r="I190">
        <f>SUM(Sayfa1!G167:G190)</f>
        <v>0</v>
      </c>
    </row>
    <row r="191" spans="1:9" x14ac:dyDescent="0.3">
      <c r="A191">
        <v>-118.75</v>
      </c>
      <c r="B191">
        <v>34.25</v>
      </c>
      <c r="C191">
        <v>2025</v>
      </c>
      <c r="D191">
        <v>1</v>
      </c>
      <c r="E191">
        <v>8</v>
      </c>
      <c r="F191">
        <f>Sayfa1!C191-273.15</f>
        <v>19.214624023437523</v>
      </c>
      <c r="G191">
        <v>8.907073974609375</v>
      </c>
      <c r="H191">
        <f>SQRT(Sayfa1!D191^2+Sayfa1!E191^2)</f>
        <v>6.1546429298193548</v>
      </c>
      <c r="I191">
        <f>SUM(Sayfa1!G168:G191)</f>
        <v>0</v>
      </c>
    </row>
    <row r="192" spans="1:9" x14ac:dyDescent="0.3">
      <c r="A192">
        <v>-118.75</v>
      </c>
      <c r="B192">
        <v>34.25</v>
      </c>
      <c r="C192">
        <v>2025</v>
      </c>
      <c r="D192">
        <v>1</v>
      </c>
      <c r="E192">
        <v>8</v>
      </c>
      <c r="F192">
        <f>Sayfa1!C192-273.15</f>
        <v>19.653466796875023</v>
      </c>
      <c r="G192">
        <v>7.4584627151489258</v>
      </c>
      <c r="H192">
        <f>SQRT(Sayfa1!D192^2+Sayfa1!E192^2)</f>
        <v>5.9256371370647445</v>
      </c>
      <c r="I192">
        <f>SUM(Sayfa1!G169:G192)</f>
        <v>0</v>
      </c>
    </row>
    <row r="193" spans="1:9" x14ac:dyDescent="0.3">
      <c r="A193">
        <v>-118.75</v>
      </c>
      <c r="B193">
        <v>34.25</v>
      </c>
      <c r="C193">
        <v>2025</v>
      </c>
      <c r="D193">
        <v>1</v>
      </c>
      <c r="E193">
        <v>8</v>
      </c>
      <c r="F193">
        <f>Sayfa1!C193-273.15</f>
        <v>20.001977539062523</v>
      </c>
      <c r="G193">
        <v>7.5199193954467773</v>
      </c>
      <c r="H193">
        <f>SQRT(Sayfa1!D193^2+Sayfa1!E193^2)</f>
        <v>4.7735276687086756</v>
      </c>
      <c r="I193">
        <f>SUM(Sayfa1!G170:G193)</f>
        <v>0</v>
      </c>
    </row>
    <row r="194" spans="1:9" x14ac:dyDescent="0.3">
      <c r="A194">
        <v>-118.75</v>
      </c>
      <c r="B194">
        <v>34.25</v>
      </c>
      <c r="C194">
        <v>2025</v>
      </c>
      <c r="D194">
        <v>1</v>
      </c>
      <c r="E194">
        <v>9</v>
      </c>
      <c r="F194">
        <f>Sayfa1!C194-273.15</f>
        <v>20.023034667968773</v>
      </c>
      <c r="G194">
        <v>8.6403846740722656</v>
      </c>
      <c r="H194">
        <f>SQRT(Sayfa1!D194^2+Sayfa1!E194^2)</f>
        <v>3.5834346996765327</v>
      </c>
      <c r="I194">
        <f>SUM(Sayfa1!G171:G194)</f>
        <v>0</v>
      </c>
    </row>
    <row r="195" spans="1:9" x14ac:dyDescent="0.3">
      <c r="A195">
        <v>-118.75</v>
      </c>
      <c r="B195">
        <v>34.25</v>
      </c>
      <c r="C195">
        <v>2025</v>
      </c>
      <c r="D195">
        <v>1</v>
      </c>
      <c r="E195">
        <v>9</v>
      </c>
      <c r="F195">
        <f>Sayfa1!C195-273.15</f>
        <v>19.729943847656273</v>
      </c>
      <c r="G195">
        <v>9.4040155410766602</v>
      </c>
      <c r="H195">
        <f>SQRT(Sayfa1!D195^2+Sayfa1!E195^2)</f>
        <v>3.1080097673968901</v>
      </c>
      <c r="I195">
        <f>SUM(Sayfa1!G172:G195)</f>
        <v>0</v>
      </c>
    </row>
    <row r="196" spans="1:9" x14ac:dyDescent="0.3">
      <c r="A196">
        <v>-118.75</v>
      </c>
      <c r="B196">
        <v>34.25</v>
      </c>
      <c r="C196">
        <v>2025</v>
      </c>
      <c r="D196">
        <v>1</v>
      </c>
      <c r="E196">
        <v>9</v>
      </c>
      <c r="F196">
        <f>Sayfa1!C196-273.15</f>
        <v>19.159509277343773</v>
      </c>
      <c r="G196">
        <v>10.436415672302246</v>
      </c>
      <c r="H196">
        <f>SQRT(Sayfa1!D196^2+Sayfa1!E196^2)</f>
        <v>2.5601509119155832</v>
      </c>
      <c r="I196">
        <f>SUM(Sayfa1!G173:G196)</f>
        <v>0</v>
      </c>
    </row>
    <row r="197" spans="1:9" x14ac:dyDescent="0.3">
      <c r="A197">
        <v>-118.75</v>
      </c>
      <c r="B197">
        <v>34.25</v>
      </c>
      <c r="C197">
        <v>2025</v>
      </c>
      <c r="D197">
        <v>1</v>
      </c>
      <c r="E197">
        <v>9</v>
      </c>
      <c r="F197">
        <f>Sayfa1!C197-273.15</f>
        <v>18.740930175781273</v>
      </c>
      <c r="G197">
        <v>12.721560478210449</v>
      </c>
      <c r="H197">
        <f>SQRT(Sayfa1!D197^2+Sayfa1!E197^2)</f>
        <v>2.5400104567384716</v>
      </c>
      <c r="I197">
        <f>SUM(Sayfa1!G174:G197)</f>
        <v>0</v>
      </c>
    </row>
    <row r="198" spans="1:9" x14ac:dyDescent="0.3">
      <c r="A198">
        <v>-118.75</v>
      </c>
      <c r="B198">
        <v>34.25</v>
      </c>
      <c r="C198">
        <v>2025</v>
      </c>
      <c r="D198">
        <v>1</v>
      </c>
      <c r="E198">
        <v>9</v>
      </c>
      <c r="F198">
        <f>Sayfa1!C198-273.15</f>
        <v>18.605615234375023</v>
      </c>
      <c r="G198">
        <v>18.778059005737305</v>
      </c>
      <c r="H198">
        <f>SQRT(Sayfa1!D198^2+Sayfa1!E198^2)</f>
        <v>2.5110046006345947</v>
      </c>
      <c r="I198">
        <f>SUM(Sayfa1!G175:G198)</f>
        <v>0</v>
      </c>
    </row>
    <row r="199" spans="1:9" x14ac:dyDescent="0.3">
      <c r="A199">
        <v>-118.75</v>
      </c>
      <c r="B199">
        <v>34.25</v>
      </c>
      <c r="C199">
        <v>2025</v>
      </c>
      <c r="D199">
        <v>1</v>
      </c>
      <c r="E199">
        <v>9</v>
      </c>
      <c r="F199">
        <f>Sayfa1!C199-273.15</f>
        <v>18.604943847656273</v>
      </c>
      <c r="G199">
        <v>28.242496490478516</v>
      </c>
      <c r="H199">
        <f>SQRT(Sayfa1!D199^2+Sayfa1!E199^2)</f>
        <v>2.4782066100912199</v>
      </c>
      <c r="I199">
        <f>SUM(Sayfa1!G176:G199)</f>
        <v>0</v>
      </c>
    </row>
    <row r="200" spans="1:9" x14ac:dyDescent="0.3">
      <c r="A200">
        <v>-118.75</v>
      </c>
      <c r="B200">
        <v>34.25</v>
      </c>
      <c r="C200">
        <v>2025</v>
      </c>
      <c r="D200">
        <v>1</v>
      </c>
      <c r="E200">
        <v>9</v>
      </c>
      <c r="F200">
        <f>Sayfa1!C200-273.15</f>
        <v>18.595666503906273</v>
      </c>
      <c r="G200">
        <v>37.612297058105469</v>
      </c>
      <c r="H200">
        <f>SQRT(Sayfa1!D200^2+Sayfa1!E200^2)</f>
        <v>2.4602553939860266</v>
      </c>
      <c r="I200">
        <f>SUM(Sayfa1!G177:G200)</f>
        <v>0</v>
      </c>
    </row>
    <row r="201" spans="1:9" x14ac:dyDescent="0.3">
      <c r="A201">
        <v>-118.75</v>
      </c>
      <c r="B201">
        <v>34.25</v>
      </c>
      <c r="C201">
        <v>2025</v>
      </c>
      <c r="D201">
        <v>1</v>
      </c>
      <c r="E201">
        <v>9</v>
      </c>
      <c r="F201">
        <f>Sayfa1!C201-273.15</f>
        <v>18.512475585937523</v>
      </c>
      <c r="G201">
        <v>44.323970794677734</v>
      </c>
      <c r="H201">
        <f>SQRT(Sayfa1!D201^2+Sayfa1!E201^2)</f>
        <v>2.4553403275261578</v>
      </c>
      <c r="I201">
        <f>SUM(Sayfa1!G178:G201)</f>
        <v>0</v>
      </c>
    </row>
    <row r="202" spans="1:9" x14ac:dyDescent="0.3">
      <c r="A202">
        <v>-118.75</v>
      </c>
      <c r="B202">
        <v>34.25</v>
      </c>
      <c r="C202">
        <v>2025</v>
      </c>
      <c r="D202">
        <v>1</v>
      </c>
      <c r="E202">
        <v>9</v>
      </c>
      <c r="F202">
        <f>Sayfa1!C202-273.15</f>
        <v>18.354394531250023</v>
      </c>
      <c r="G202">
        <v>48.807598114013672</v>
      </c>
      <c r="H202">
        <f>SQRT(Sayfa1!D202^2+Sayfa1!E202^2)</f>
        <v>2.483001493735725</v>
      </c>
      <c r="I202">
        <f>SUM(Sayfa1!G179:G202)</f>
        <v>0</v>
      </c>
    </row>
    <row r="203" spans="1:9" x14ac:dyDescent="0.3">
      <c r="A203">
        <v>-118.75</v>
      </c>
      <c r="B203">
        <v>34.25</v>
      </c>
      <c r="C203">
        <v>2025</v>
      </c>
      <c r="D203">
        <v>1</v>
      </c>
      <c r="E203">
        <v>9</v>
      </c>
      <c r="F203">
        <f>Sayfa1!C203-273.15</f>
        <v>18.057824707031273</v>
      </c>
      <c r="G203">
        <v>50.7413330078125</v>
      </c>
      <c r="H203">
        <f>SQRT(Sayfa1!D203^2+Sayfa1!E203^2)</f>
        <v>2.5467565785416486</v>
      </c>
      <c r="I203">
        <f>SUM(Sayfa1!G180:G203)</f>
        <v>0</v>
      </c>
    </row>
    <row r="204" spans="1:9" x14ac:dyDescent="0.3">
      <c r="A204">
        <v>-118.75</v>
      </c>
      <c r="B204">
        <v>34.25</v>
      </c>
      <c r="C204">
        <v>2025</v>
      </c>
      <c r="D204">
        <v>1</v>
      </c>
      <c r="E204">
        <v>9</v>
      </c>
      <c r="F204">
        <f>Sayfa1!C204-273.15</f>
        <v>17.575769042968773</v>
      </c>
      <c r="G204">
        <v>49.800834655761719</v>
      </c>
      <c r="H204">
        <f>SQRT(Sayfa1!D204^2+Sayfa1!E204^2)</f>
        <v>2.6065986796940406</v>
      </c>
      <c r="I204">
        <f>SUM(Sayfa1!G181:G204)</f>
        <v>0</v>
      </c>
    </row>
    <row r="205" spans="1:9" x14ac:dyDescent="0.3">
      <c r="A205">
        <v>-118.75</v>
      </c>
      <c r="B205">
        <v>34.25</v>
      </c>
      <c r="C205">
        <v>2025</v>
      </c>
      <c r="D205">
        <v>1</v>
      </c>
      <c r="E205">
        <v>9</v>
      </c>
      <c r="F205">
        <f>Sayfa1!C205-273.15</f>
        <v>17.362695312500023</v>
      </c>
      <c r="G205">
        <v>50.597175598144531</v>
      </c>
      <c r="H205">
        <f>SQRT(Sayfa1!D205^2+Sayfa1!E205^2)</f>
        <v>2.4398580873389069</v>
      </c>
      <c r="I205">
        <f>SUM(Sayfa1!G182:G205)</f>
        <v>0</v>
      </c>
    </row>
    <row r="206" spans="1:9" x14ac:dyDescent="0.3">
      <c r="A206">
        <v>-118.75</v>
      </c>
      <c r="B206">
        <v>34.25</v>
      </c>
      <c r="C206">
        <v>2025</v>
      </c>
      <c r="D206">
        <v>1</v>
      </c>
      <c r="E206">
        <v>9</v>
      </c>
      <c r="F206">
        <f>Sayfa1!C206-273.15</f>
        <v>17.230615234375023</v>
      </c>
      <c r="G206">
        <v>50.971569061279297</v>
      </c>
      <c r="H206">
        <f>SQRT(Sayfa1!D206^2+Sayfa1!E206^2)</f>
        <v>2.3871250815886071</v>
      </c>
      <c r="I206">
        <f>SUM(Sayfa1!G183:G206)</f>
        <v>0</v>
      </c>
    </row>
    <row r="207" spans="1:9" x14ac:dyDescent="0.3">
      <c r="A207">
        <v>-118.75</v>
      </c>
      <c r="B207">
        <v>34.25</v>
      </c>
      <c r="C207">
        <v>2025</v>
      </c>
      <c r="D207">
        <v>1</v>
      </c>
      <c r="E207">
        <v>9</v>
      </c>
      <c r="F207">
        <f>Sayfa1!C207-273.15</f>
        <v>17.223779296875023</v>
      </c>
      <c r="G207">
        <v>50.896938323974609</v>
      </c>
      <c r="H207">
        <f>SQRT(Sayfa1!D207^2+Sayfa1!E207^2)</f>
        <v>2.4859622027637922</v>
      </c>
      <c r="I207">
        <f>SUM(Sayfa1!G184:G207)</f>
        <v>0</v>
      </c>
    </row>
    <row r="208" spans="1:9" x14ac:dyDescent="0.3">
      <c r="A208">
        <v>-118.75</v>
      </c>
      <c r="B208">
        <v>34.25</v>
      </c>
      <c r="C208">
        <v>2025</v>
      </c>
      <c r="D208">
        <v>1</v>
      </c>
      <c r="E208">
        <v>9</v>
      </c>
      <c r="F208">
        <f>Sayfa1!C208-273.15</f>
        <v>17.423852539062523</v>
      </c>
      <c r="G208">
        <v>50.222503662109375</v>
      </c>
      <c r="H208">
        <f>SQRT(Sayfa1!D208^2+Sayfa1!E208^2)</f>
        <v>2.5107977600672515</v>
      </c>
      <c r="I208">
        <f>SUM(Sayfa1!G185:G208)</f>
        <v>0</v>
      </c>
    </row>
    <row r="209" spans="1:9" x14ac:dyDescent="0.3">
      <c r="A209">
        <v>-118.75</v>
      </c>
      <c r="B209">
        <v>34.25</v>
      </c>
      <c r="C209">
        <v>2025</v>
      </c>
      <c r="D209">
        <v>1</v>
      </c>
      <c r="E209">
        <v>9</v>
      </c>
      <c r="F209">
        <f>Sayfa1!C209-273.15</f>
        <v>17.653710937500023</v>
      </c>
      <c r="G209">
        <v>49.668350219726563</v>
      </c>
      <c r="H209">
        <f>SQRT(Sayfa1!D209^2+Sayfa1!E209^2)</f>
        <v>2.5889568772441085</v>
      </c>
      <c r="I209">
        <f>SUM(Sayfa1!G186:G209)</f>
        <v>0</v>
      </c>
    </row>
    <row r="210" spans="1:9" x14ac:dyDescent="0.3">
      <c r="A210">
        <v>-118.75</v>
      </c>
      <c r="B210">
        <v>34.25</v>
      </c>
      <c r="C210">
        <v>2025</v>
      </c>
      <c r="D210">
        <v>1</v>
      </c>
      <c r="E210">
        <v>9</v>
      </c>
      <c r="F210">
        <f>Sayfa1!C210-273.15</f>
        <v>18.016809082031273</v>
      </c>
      <c r="G210">
        <v>46.534233093261719</v>
      </c>
      <c r="H210">
        <f>SQRT(Sayfa1!D210^2+Sayfa1!E210^2)</f>
        <v>2.4702304098091625</v>
      </c>
      <c r="I210">
        <f>SUM(Sayfa1!G187:G210)</f>
        <v>0</v>
      </c>
    </row>
    <row r="211" spans="1:9" x14ac:dyDescent="0.3">
      <c r="A211">
        <v>-118.75</v>
      </c>
      <c r="B211">
        <v>34.25</v>
      </c>
      <c r="C211">
        <v>2025</v>
      </c>
      <c r="D211">
        <v>1</v>
      </c>
      <c r="E211">
        <v>9</v>
      </c>
      <c r="F211">
        <f>Sayfa1!C211-273.15</f>
        <v>18.430383300781273</v>
      </c>
      <c r="G211">
        <v>40.256866455078125</v>
      </c>
      <c r="H211">
        <f>SQRT(Sayfa1!D211^2+Sayfa1!E211^2)</f>
        <v>2.0350354348348652</v>
      </c>
      <c r="I211">
        <f>SUM(Sayfa1!G188:G211)</f>
        <v>0</v>
      </c>
    </row>
    <row r="212" spans="1:9" x14ac:dyDescent="0.3">
      <c r="A212">
        <v>-118.75</v>
      </c>
      <c r="B212">
        <v>34.25</v>
      </c>
      <c r="C212">
        <v>2025</v>
      </c>
      <c r="D212">
        <v>1</v>
      </c>
      <c r="E212">
        <v>9</v>
      </c>
      <c r="F212">
        <f>Sayfa1!C212-273.15</f>
        <v>18.664270019531273</v>
      </c>
      <c r="G212">
        <v>29.885833740234375</v>
      </c>
      <c r="H212">
        <f>SQRT(Sayfa1!D212^2+Sayfa1!E212^2)</f>
        <v>1.9790313463734639</v>
      </c>
      <c r="I212">
        <f>SUM(Sayfa1!G189:G212)</f>
        <v>0</v>
      </c>
    </row>
    <row r="213" spans="1:9" x14ac:dyDescent="0.3">
      <c r="A213">
        <v>-118.75</v>
      </c>
      <c r="B213">
        <v>34.25</v>
      </c>
      <c r="C213">
        <v>2025</v>
      </c>
      <c r="D213">
        <v>1</v>
      </c>
      <c r="E213">
        <v>9</v>
      </c>
      <c r="F213">
        <f>Sayfa1!C213-273.15</f>
        <v>19.703759765625023</v>
      </c>
      <c r="G213">
        <v>16.217620849609375</v>
      </c>
      <c r="H213">
        <f>SQRT(Sayfa1!D213^2+Sayfa1!E213^2)</f>
        <v>3.4889133004636612</v>
      </c>
      <c r="I213">
        <f>SUM(Sayfa1!G190:G213)</f>
        <v>0</v>
      </c>
    </row>
    <row r="214" spans="1:9" x14ac:dyDescent="0.3">
      <c r="A214">
        <v>-118.75</v>
      </c>
      <c r="B214">
        <v>34.25</v>
      </c>
      <c r="C214">
        <v>2025</v>
      </c>
      <c r="D214">
        <v>1</v>
      </c>
      <c r="E214">
        <v>9</v>
      </c>
      <c r="F214">
        <f>Sayfa1!C214-273.15</f>
        <v>20.801843261718773</v>
      </c>
      <c r="G214">
        <v>12.061635971069336</v>
      </c>
      <c r="H214">
        <f>SQRT(Sayfa1!D214^2+Sayfa1!E214^2)</f>
        <v>4.1210115794322038</v>
      </c>
      <c r="I214">
        <f>SUM(Sayfa1!G191:G214)</f>
        <v>0</v>
      </c>
    </row>
    <row r="215" spans="1:9" x14ac:dyDescent="0.3">
      <c r="A215">
        <v>-118.75</v>
      </c>
      <c r="B215">
        <v>34.25</v>
      </c>
      <c r="C215">
        <v>2025</v>
      </c>
      <c r="D215">
        <v>1</v>
      </c>
      <c r="E215">
        <v>9</v>
      </c>
      <c r="F215">
        <f>Sayfa1!C215-273.15</f>
        <v>21.401635742187523</v>
      </c>
      <c r="G215">
        <v>9.4952640533447266</v>
      </c>
      <c r="H215">
        <f>SQRT(Sayfa1!D215^2+Sayfa1!E215^2)</f>
        <v>4.4299877023657812</v>
      </c>
      <c r="I215">
        <f>SUM(Sayfa1!G192:G215)</f>
        <v>0</v>
      </c>
    </row>
    <row r="216" spans="1:9" x14ac:dyDescent="0.3">
      <c r="A216">
        <v>-118.75</v>
      </c>
      <c r="B216">
        <v>34.25</v>
      </c>
      <c r="C216">
        <v>2025</v>
      </c>
      <c r="D216">
        <v>1</v>
      </c>
      <c r="E216">
        <v>9</v>
      </c>
      <c r="F216">
        <f>Sayfa1!C216-273.15</f>
        <v>22.498071289062523</v>
      </c>
      <c r="G216">
        <v>7.2712202072143555</v>
      </c>
      <c r="H216">
        <f>SQRT(Sayfa1!D216^2+Sayfa1!E216^2)</f>
        <v>3.0874188590660032</v>
      </c>
      <c r="I216">
        <f>SUM(Sayfa1!G193:G216)</f>
        <v>0</v>
      </c>
    </row>
    <row r="217" spans="1:9" x14ac:dyDescent="0.3">
      <c r="A217">
        <v>-118.75</v>
      </c>
      <c r="B217">
        <v>34.25</v>
      </c>
      <c r="C217">
        <v>2025</v>
      </c>
      <c r="D217">
        <v>1</v>
      </c>
      <c r="E217">
        <v>9</v>
      </c>
      <c r="F217">
        <f>Sayfa1!C217-273.15</f>
        <v>22.758264160156273</v>
      </c>
      <c r="G217">
        <v>7.4159727096557617</v>
      </c>
      <c r="H217">
        <f>SQRT(Sayfa1!D217^2+Sayfa1!E217^2)</f>
        <v>2.6364149890431774</v>
      </c>
      <c r="I217">
        <f>SUM(Sayfa1!G194:G217)</f>
        <v>0</v>
      </c>
    </row>
    <row r="218" spans="1:9" x14ac:dyDescent="0.3">
      <c r="A218">
        <v>-118.75</v>
      </c>
      <c r="B218">
        <v>34.25</v>
      </c>
      <c r="C218">
        <v>2025</v>
      </c>
      <c r="D218">
        <v>1</v>
      </c>
      <c r="E218">
        <v>10</v>
      </c>
      <c r="F218">
        <f>Sayfa1!C218-273.15</f>
        <v>22.315087890625023</v>
      </c>
      <c r="G218">
        <v>9.4981937408447266</v>
      </c>
      <c r="H218">
        <f>SQRT(Sayfa1!D218^2+Sayfa1!E218^2)</f>
        <v>1.5237710089468377</v>
      </c>
      <c r="I218">
        <f>SUM(Sayfa1!G195:G218)</f>
        <v>0</v>
      </c>
    </row>
    <row r="219" spans="1:9" x14ac:dyDescent="0.3">
      <c r="A219">
        <v>-118.75</v>
      </c>
      <c r="B219">
        <v>34.25</v>
      </c>
      <c r="C219">
        <v>2025</v>
      </c>
      <c r="D219">
        <v>1</v>
      </c>
      <c r="E219">
        <v>10</v>
      </c>
      <c r="F219">
        <f>Sayfa1!C219-273.15</f>
        <v>21.597924804687523</v>
      </c>
      <c r="G219">
        <v>13.174994468688965</v>
      </c>
      <c r="H219">
        <f>SQRT(Sayfa1!D219^2+Sayfa1!E219^2)</f>
        <v>1.0414467973427739</v>
      </c>
      <c r="I219">
        <f>SUM(Sayfa1!G196:G219)</f>
        <v>0</v>
      </c>
    </row>
    <row r="220" spans="1:9" x14ac:dyDescent="0.3">
      <c r="A220">
        <v>-118.75</v>
      </c>
      <c r="B220">
        <v>34.25</v>
      </c>
      <c r="C220">
        <v>2025</v>
      </c>
      <c r="D220">
        <v>1</v>
      </c>
      <c r="E220">
        <v>10</v>
      </c>
      <c r="F220">
        <f>Sayfa1!C220-273.15</f>
        <v>21.048730468750023</v>
      </c>
      <c r="G220">
        <v>14.356379508972168</v>
      </c>
      <c r="H220">
        <f>SQRT(Sayfa1!D220^2+Sayfa1!E220^2)</f>
        <v>2.1486674530879424</v>
      </c>
      <c r="I220">
        <f>SUM(Sayfa1!G197:G220)</f>
        <v>0</v>
      </c>
    </row>
    <row r="221" spans="1:9" x14ac:dyDescent="0.3">
      <c r="A221">
        <v>-118.75</v>
      </c>
      <c r="B221">
        <v>34.25</v>
      </c>
      <c r="C221">
        <v>2025</v>
      </c>
      <c r="D221">
        <v>1</v>
      </c>
      <c r="E221">
        <v>10</v>
      </c>
      <c r="F221">
        <f>Sayfa1!C221-273.15</f>
        <v>20.770227050781273</v>
      </c>
      <c r="G221">
        <v>13.559468269348145</v>
      </c>
      <c r="H221">
        <f>SQRT(Sayfa1!D221^2+Sayfa1!E221^2)</f>
        <v>2.6411681405352416</v>
      </c>
      <c r="I221">
        <f>SUM(Sayfa1!G198:G221)</f>
        <v>0</v>
      </c>
    </row>
    <row r="222" spans="1:9" x14ac:dyDescent="0.3">
      <c r="A222">
        <v>-118.75</v>
      </c>
      <c r="B222">
        <v>34.25</v>
      </c>
      <c r="C222">
        <v>2025</v>
      </c>
      <c r="D222">
        <v>1</v>
      </c>
      <c r="E222">
        <v>10</v>
      </c>
      <c r="F222">
        <f>Sayfa1!C222-273.15</f>
        <v>20.342553710937523</v>
      </c>
      <c r="G222">
        <v>11.265929222106934</v>
      </c>
      <c r="H222">
        <f>SQRT(Sayfa1!D222^2+Sayfa1!E222^2)</f>
        <v>3.1451601217410494</v>
      </c>
      <c r="I222">
        <f>SUM(Sayfa1!G199:G222)</f>
        <v>0</v>
      </c>
    </row>
    <row r="223" spans="1:9" x14ac:dyDescent="0.3">
      <c r="A223">
        <v>-118.75</v>
      </c>
      <c r="B223">
        <v>34.25</v>
      </c>
      <c r="C223">
        <v>2025</v>
      </c>
      <c r="D223">
        <v>1</v>
      </c>
      <c r="E223">
        <v>10</v>
      </c>
      <c r="F223">
        <f>Sayfa1!C223-273.15</f>
        <v>19.467309570312523</v>
      </c>
      <c r="G223">
        <v>10.631547927856445</v>
      </c>
      <c r="H223">
        <f>SQRT(Sayfa1!D223^2+Sayfa1!E223^2)</f>
        <v>3.4946860715087578</v>
      </c>
      <c r="I223">
        <f>SUM(Sayfa1!G200:G223)</f>
        <v>0</v>
      </c>
    </row>
    <row r="224" spans="1:9" x14ac:dyDescent="0.3">
      <c r="A224">
        <v>-118.75</v>
      </c>
      <c r="B224">
        <v>34.25</v>
      </c>
      <c r="C224">
        <v>2025</v>
      </c>
      <c r="D224">
        <v>1</v>
      </c>
      <c r="E224">
        <v>10</v>
      </c>
      <c r="F224">
        <f>Sayfa1!C224-273.15</f>
        <v>18.721826171875023</v>
      </c>
      <c r="G224">
        <v>12.703516960144043</v>
      </c>
      <c r="H224">
        <f>SQRT(Sayfa1!D224^2+Sayfa1!E224^2)</f>
        <v>3.5098285848845947</v>
      </c>
      <c r="I224">
        <f>SUM(Sayfa1!G201:G224)</f>
        <v>0</v>
      </c>
    </row>
    <row r="225" spans="1:9" x14ac:dyDescent="0.3">
      <c r="A225">
        <v>-118.75</v>
      </c>
      <c r="B225">
        <v>34.25</v>
      </c>
      <c r="C225">
        <v>2025</v>
      </c>
      <c r="D225">
        <v>1</v>
      </c>
      <c r="E225">
        <v>10</v>
      </c>
      <c r="F225">
        <f>Sayfa1!C225-273.15</f>
        <v>18.113122558593773</v>
      </c>
      <c r="G225">
        <v>14.048070907592773</v>
      </c>
      <c r="H225">
        <f>SQRT(Sayfa1!D225^2+Sayfa1!E225^2)</f>
        <v>3.529571304467066</v>
      </c>
      <c r="I225">
        <f>SUM(Sayfa1!G202:G225)</f>
        <v>0</v>
      </c>
    </row>
    <row r="226" spans="1:9" x14ac:dyDescent="0.3">
      <c r="A226">
        <v>-118.75</v>
      </c>
      <c r="B226">
        <v>34.25</v>
      </c>
      <c r="C226">
        <v>2025</v>
      </c>
      <c r="D226">
        <v>1</v>
      </c>
      <c r="E226">
        <v>10</v>
      </c>
      <c r="F226">
        <f>Sayfa1!C226-273.15</f>
        <v>17.567651367187523</v>
      </c>
      <c r="G226">
        <v>14.721115112304688</v>
      </c>
      <c r="H226">
        <f>SQRT(Sayfa1!D226^2+Sayfa1!E226^2)</f>
        <v>3.606955357553435</v>
      </c>
      <c r="I226">
        <f>SUM(Sayfa1!G203:G226)</f>
        <v>0</v>
      </c>
    </row>
    <row r="227" spans="1:9" x14ac:dyDescent="0.3">
      <c r="A227">
        <v>-118.75</v>
      </c>
      <c r="B227">
        <v>34.25</v>
      </c>
      <c r="C227">
        <v>2025</v>
      </c>
      <c r="D227">
        <v>1</v>
      </c>
      <c r="E227">
        <v>10</v>
      </c>
      <c r="F227">
        <f>Sayfa1!C227-273.15</f>
        <v>17.099328613281273</v>
      </c>
      <c r="G227">
        <v>15.16496467590332</v>
      </c>
      <c r="H227">
        <f>SQRT(Sayfa1!D227^2+Sayfa1!E227^2)</f>
        <v>3.4788783285666156</v>
      </c>
      <c r="I227">
        <f>SUM(Sayfa1!G204:G227)</f>
        <v>0</v>
      </c>
    </row>
    <row r="228" spans="1:9" x14ac:dyDescent="0.3">
      <c r="A228">
        <v>-118.75</v>
      </c>
      <c r="B228">
        <v>34.25</v>
      </c>
      <c r="C228">
        <v>2025</v>
      </c>
      <c r="D228">
        <v>1</v>
      </c>
      <c r="E228">
        <v>10</v>
      </c>
      <c r="F228">
        <f>Sayfa1!C228-273.15</f>
        <v>17.869409179687523</v>
      </c>
      <c r="G228">
        <v>13.414335250854492</v>
      </c>
      <c r="H228">
        <f>SQRT(Sayfa1!D228^2+Sayfa1!E228^2)</f>
        <v>3.2315597329830714</v>
      </c>
      <c r="I228">
        <f>SUM(Sayfa1!G205:G228)</f>
        <v>0</v>
      </c>
    </row>
    <row r="229" spans="1:9" x14ac:dyDescent="0.3">
      <c r="A229">
        <v>-118.75</v>
      </c>
      <c r="B229">
        <v>34.25</v>
      </c>
      <c r="C229">
        <v>2025</v>
      </c>
      <c r="D229">
        <v>1</v>
      </c>
      <c r="E229">
        <v>10</v>
      </c>
      <c r="F229">
        <f>Sayfa1!C229-273.15</f>
        <v>17.521142578125023</v>
      </c>
      <c r="G229">
        <v>14.275565147399902</v>
      </c>
      <c r="H229">
        <f>SQRT(Sayfa1!D229^2+Sayfa1!E229^2)</f>
        <v>3.1142940923593772</v>
      </c>
      <c r="I229">
        <f>SUM(Sayfa1!G206:G229)</f>
        <v>0</v>
      </c>
    </row>
    <row r="230" spans="1:9" x14ac:dyDescent="0.3">
      <c r="A230">
        <v>-118.75</v>
      </c>
      <c r="B230">
        <v>34.25</v>
      </c>
      <c r="C230">
        <v>2025</v>
      </c>
      <c r="D230">
        <v>1</v>
      </c>
      <c r="E230">
        <v>10</v>
      </c>
      <c r="F230">
        <f>Sayfa1!C230-273.15</f>
        <v>17.088281250000023</v>
      </c>
      <c r="G230">
        <v>14.152435302734375</v>
      </c>
      <c r="H230">
        <f>SQRT(Sayfa1!D230^2+Sayfa1!E230^2)</f>
        <v>3.1386836670168594</v>
      </c>
      <c r="I230">
        <f>SUM(Sayfa1!G207:G230)</f>
        <v>0</v>
      </c>
    </row>
    <row r="231" spans="1:9" x14ac:dyDescent="0.3">
      <c r="A231">
        <v>-118.75</v>
      </c>
      <c r="B231">
        <v>34.25</v>
      </c>
      <c r="C231">
        <v>2025</v>
      </c>
      <c r="D231">
        <v>1</v>
      </c>
      <c r="E231">
        <v>10</v>
      </c>
      <c r="F231">
        <f>Sayfa1!C231-273.15</f>
        <v>16.635461425781273</v>
      </c>
      <c r="G231">
        <v>14.119215965270996</v>
      </c>
      <c r="H231">
        <f>SQRT(Sayfa1!D231^2+Sayfa1!E231^2)</f>
        <v>3.0540017013427794</v>
      </c>
      <c r="I231">
        <f>SUM(Sayfa1!G208:G231)</f>
        <v>0</v>
      </c>
    </row>
    <row r="232" spans="1:9" x14ac:dyDescent="0.3">
      <c r="A232">
        <v>-118.75</v>
      </c>
      <c r="B232">
        <v>34.25</v>
      </c>
      <c r="C232">
        <v>2025</v>
      </c>
      <c r="D232">
        <v>1</v>
      </c>
      <c r="E232">
        <v>10</v>
      </c>
      <c r="F232">
        <f>Sayfa1!C232-273.15</f>
        <v>16.268518066406273</v>
      </c>
      <c r="G232">
        <v>14.83698844909668</v>
      </c>
      <c r="H232">
        <f>SQRT(Sayfa1!D232^2+Sayfa1!E232^2)</f>
        <v>2.7490922411918577</v>
      </c>
      <c r="I232">
        <f>SUM(Sayfa1!G209:G232)</f>
        <v>0</v>
      </c>
    </row>
    <row r="233" spans="1:9" x14ac:dyDescent="0.3">
      <c r="A233">
        <v>-118.75</v>
      </c>
      <c r="B233">
        <v>34.25</v>
      </c>
      <c r="C233">
        <v>2025</v>
      </c>
      <c r="D233">
        <v>1</v>
      </c>
      <c r="E233">
        <v>10</v>
      </c>
      <c r="F233">
        <f>Sayfa1!C233-273.15</f>
        <v>16.111352539062523</v>
      </c>
      <c r="G233">
        <v>17.01031494140625</v>
      </c>
      <c r="H233">
        <f>SQRT(Sayfa1!D233^2+Sayfa1!E233^2)</f>
        <v>2.5164181378675776</v>
      </c>
      <c r="I233">
        <f>SUM(Sayfa1!G210:G233)</f>
        <v>0</v>
      </c>
    </row>
    <row r="234" spans="1:9" x14ac:dyDescent="0.3">
      <c r="A234">
        <v>-118.75</v>
      </c>
      <c r="B234">
        <v>34.25</v>
      </c>
      <c r="C234">
        <v>2025</v>
      </c>
      <c r="D234">
        <v>1</v>
      </c>
      <c r="E234">
        <v>10</v>
      </c>
      <c r="F234">
        <f>Sayfa1!C234-273.15</f>
        <v>16.015954589843773</v>
      </c>
      <c r="G234">
        <v>20.229509353637695</v>
      </c>
      <c r="H234">
        <f>SQRT(Sayfa1!D234^2+Sayfa1!E234^2)</f>
        <v>2.2879803143595856</v>
      </c>
      <c r="I234">
        <f>SUM(Sayfa1!G211:G234)</f>
        <v>0</v>
      </c>
    </row>
    <row r="235" spans="1:9" x14ac:dyDescent="0.3">
      <c r="A235">
        <v>-118.75</v>
      </c>
      <c r="B235">
        <v>34.25</v>
      </c>
      <c r="C235">
        <v>2025</v>
      </c>
      <c r="D235">
        <v>1</v>
      </c>
      <c r="E235">
        <v>10</v>
      </c>
      <c r="F235">
        <f>Sayfa1!C235-273.15</f>
        <v>15.967492675781273</v>
      </c>
      <c r="G235">
        <v>19.276931762695313</v>
      </c>
      <c r="H235">
        <f>SQRT(Sayfa1!D235^2+Sayfa1!E235^2)</f>
        <v>1.8732931255645384</v>
      </c>
      <c r="I235">
        <f>SUM(Sayfa1!G212:G235)</f>
        <v>0</v>
      </c>
    </row>
    <row r="236" spans="1:9" x14ac:dyDescent="0.3">
      <c r="A236">
        <v>-118.75</v>
      </c>
      <c r="B236">
        <v>34.25</v>
      </c>
      <c r="C236">
        <v>2025</v>
      </c>
      <c r="D236">
        <v>1</v>
      </c>
      <c r="E236">
        <v>10</v>
      </c>
      <c r="F236">
        <f>Sayfa1!C236-273.15</f>
        <v>16.413415527343773</v>
      </c>
      <c r="G236">
        <v>12.034629821777344</v>
      </c>
      <c r="H236">
        <f>SQRT(Sayfa1!D236^2+Sayfa1!E236^2)</f>
        <v>2.4128776392947007</v>
      </c>
      <c r="I236">
        <f>SUM(Sayfa1!G213:G236)</f>
        <v>0</v>
      </c>
    </row>
    <row r="237" spans="1:9" x14ac:dyDescent="0.3">
      <c r="A237">
        <v>-118.75</v>
      </c>
      <c r="B237">
        <v>34.25</v>
      </c>
      <c r="C237">
        <v>2025</v>
      </c>
      <c r="D237">
        <v>1</v>
      </c>
      <c r="E237">
        <v>10</v>
      </c>
      <c r="F237">
        <f>Sayfa1!C237-273.15</f>
        <v>17.843164062500023</v>
      </c>
      <c r="G237">
        <v>10.826855659484863</v>
      </c>
      <c r="H237">
        <f>SQRT(Sayfa1!D237^2+Sayfa1!E237^2)</f>
        <v>3.0141632317438196</v>
      </c>
      <c r="I237">
        <f>SUM(Sayfa1!G214:G237)</f>
        <v>0</v>
      </c>
    </row>
    <row r="238" spans="1:9" x14ac:dyDescent="0.3">
      <c r="A238">
        <v>-118.75</v>
      </c>
      <c r="B238">
        <v>34.25</v>
      </c>
      <c r="C238">
        <v>2025</v>
      </c>
      <c r="D238">
        <v>1</v>
      </c>
      <c r="E238">
        <v>10</v>
      </c>
      <c r="F238">
        <f>Sayfa1!C238-273.15</f>
        <v>19.184655761718773</v>
      </c>
      <c r="G238">
        <v>9.7368431091308594</v>
      </c>
      <c r="H238">
        <f>SQRT(Sayfa1!D238^2+Sayfa1!E238^2)</f>
        <v>2.434339504389071</v>
      </c>
      <c r="I238">
        <f>SUM(Sayfa1!G215:G238)</f>
        <v>0</v>
      </c>
    </row>
    <row r="239" spans="1:9" x14ac:dyDescent="0.3">
      <c r="A239">
        <v>-118.75</v>
      </c>
      <c r="B239">
        <v>34.25</v>
      </c>
      <c r="C239">
        <v>2025</v>
      </c>
      <c r="D239">
        <v>1</v>
      </c>
      <c r="E239">
        <v>10</v>
      </c>
      <c r="F239">
        <f>Sayfa1!C239-273.15</f>
        <v>20.131677246093773</v>
      </c>
      <c r="G239">
        <v>9.5438404083251953</v>
      </c>
      <c r="H239">
        <f>SQRT(Sayfa1!D239^2+Sayfa1!E239^2)</f>
        <v>1.4556460226014187</v>
      </c>
      <c r="I239">
        <f>SUM(Sayfa1!G216:G239)</f>
        <v>0</v>
      </c>
    </row>
    <row r="240" spans="1:9" x14ac:dyDescent="0.3">
      <c r="A240">
        <v>-118.75</v>
      </c>
      <c r="B240">
        <v>34.25</v>
      </c>
      <c r="C240">
        <v>2025</v>
      </c>
      <c r="D240">
        <v>1</v>
      </c>
      <c r="E240">
        <v>10</v>
      </c>
      <c r="F240">
        <f>Sayfa1!C240-273.15</f>
        <v>19.819482421875023</v>
      </c>
      <c r="G240">
        <v>11.510687828063965</v>
      </c>
      <c r="H240">
        <f>SQRT(Sayfa1!D240^2+Sayfa1!E240^2)</f>
        <v>0.83718807840758935</v>
      </c>
      <c r="I240">
        <f>SUM(Sayfa1!G217:G240)</f>
        <v>0</v>
      </c>
    </row>
    <row r="241" spans="1:9" x14ac:dyDescent="0.3">
      <c r="A241">
        <v>-118.75</v>
      </c>
      <c r="B241">
        <v>34.25</v>
      </c>
      <c r="C241">
        <v>2025</v>
      </c>
      <c r="D241">
        <v>1</v>
      </c>
      <c r="E241">
        <v>10</v>
      </c>
      <c r="F241">
        <f>Sayfa1!C241-273.15</f>
        <v>19.916162109375023</v>
      </c>
      <c r="G241">
        <v>13.692470550537109</v>
      </c>
      <c r="H241">
        <f>SQRT(Sayfa1!D241^2+Sayfa1!E241^2)</f>
        <v>0.96565388946657316</v>
      </c>
      <c r="I241">
        <f>SUM(Sayfa1!G218:G241)</f>
        <v>0</v>
      </c>
    </row>
    <row r="242" spans="1:9" x14ac:dyDescent="0.3">
      <c r="A242">
        <v>-118.75</v>
      </c>
      <c r="B242">
        <v>34.25</v>
      </c>
      <c r="C242">
        <v>2025</v>
      </c>
      <c r="D242">
        <v>1</v>
      </c>
      <c r="E242">
        <v>11</v>
      </c>
      <c r="F242">
        <f>Sayfa1!C242-273.15</f>
        <v>19.224877929687523</v>
      </c>
      <c r="G242">
        <v>18.447273254394531</v>
      </c>
      <c r="H242">
        <f>SQRT(Sayfa1!D242^2+Sayfa1!E242^2)</f>
        <v>1.2522797061871715</v>
      </c>
      <c r="I242">
        <f>SUM(Sayfa1!G219:G242)</f>
        <v>0</v>
      </c>
    </row>
    <row r="243" spans="1:9" x14ac:dyDescent="0.3">
      <c r="A243">
        <v>-118.75</v>
      </c>
      <c r="B243">
        <v>34.25</v>
      </c>
      <c r="C243">
        <v>2025</v>
      </c>
      <c r="D243">
        <v>1</v>
      </c>
      <c r="E243">
        <v>11</v>
      </c>
      <c r="F243">
        <f>Sayfa1!C243-273.15</f>
        <v>18.228051757812523</v>
      </c>
      <c r="G243">
        <v>24.647350311279297</v>
      </c>
      <c r="H243">
        <f>SQRT(Sayfa1!D243^2+Sayfa1!E243^2)</f>
        <v>1.6928684908112703</v>
      </c>
      <c r="I243">
        <f>SUM(Sayfa1!G220:G243)</f>
        <v>0</v>
      </c>
    </row>
    <row r="244" spans="1:9" x14ac:dyDescent="0.3">
      <c r="A244">
        <v>-118.75</v>
      </c>
      <c r="B244">
        <v>34.25</v>
      </c>
      <c r="C244">
        <v>2025</v>
      </c>
      <c r="D244">
        <v>1</v>
      </c>
      <c r="E244">
        <v>11</v>
      </c>
      <c r="F244">
        <f>Sayfa1!C244-273.15</f>
        <v>17.568139648437523</v>
      </c>
      <c r="G244">
        <v>29.505634307861328</v>
      </c>
      <c r="H244">
        <f>SQRT(Sayfa1!D244^2+Sayfa1!E244^2)</f>
        <v>1.365156371353605</v>
      </c>
      <c r="I244">
        <f>SUM(Sayfa1!G221:G244)</f>
        <v>0</v>
      </c>
    </row>
    <row r="245" spans="1:9" x14ac:dyDescent="0.3">
      <c r="A245">
        <v>-118.75</v>
      </c>
      <c r="B245">
        <v>34.25</v>
      </c>
      <c r="C245">
        <v>2025</v>
      </c>
      <c r="D245">
        <v>1</v>
      </c>
      <c r="E245">
        <v>11</v>
      </c>
      <c r="F245">
        <f>Sayfa1!C245-273.15</f>
        <v>17.057763671875023</v>
      </c>
      <c r="G245">
        <v>32.862964630126953</v>
      </c>
      <c r="H245">
        <f>SQRT(Sayfa1!D245^2+Sayfa1!E245^2)</f>
        <v>1.0224885095423808</v>
      </c>
      <c r="I245">
        <f>SUM(Sayfa1!G222:G245)</f>
        <v>0</v>
      </c>
    </row>
    <row r="246" spans="1:9" x14ac:dyDescent="0.3">
      <c r="A246">
        <v>-118.75</v>
      </c>
      <c r="B246">
        <v>34.25</v>
      </c>
      <c r="C246">
        <v>2025</v>
      </c>
      <c r="D246">
        <v>1</v>
      </c>
      <c r="E246">
        <v>11</v>
      </c>
      <c r="F246">
        <f>Sayfa1!C246-273.15</f>
        <v>16.764184570312523</v>
      </c>
      <c r="G246">
        <v>36.303115844726563</v>
      </c>
      <c r="H246">
        <f>SQRT(Sayfa1!D246^2+Sayfa1!E246^2)</f>
        <v>0.77020015318630575</v>
      </c>
      <c r="I246">
        <f>SUM(Sayfa1!G223:G246)</f>
        <v>0</v>
      </c>
    </row>
    <row r="247" spans="1:9" x14ac:dyDescent="0.3">
      <c r="A247">
        <v>-118.75</v>
      </c>
      <c r="B247">
        <v>34.25</v>
      </c>
      <c r="C247">
        <v>2025</v>
      </c>
      <c r="D247">
        <v>1</v>
      </c>
      <c r="E247">
        <v>11</v>
      </c>
      <c r="F247">
        <f>Sayfa1!C247-273.15</f>
        <v>16.624047851562523</v>
      </c>
      <c r="G247">
        <v>38.913169860839844</v>
      </c>
      <c r="H247">
        <f>SQRT(Sayfa1!D247^2+Sayfa1!E247^2)</f>
        <v>0.92456674800371685</v>
      </c>
      <c r="I247">
        <f>SUM(Sayfa1!G224:G247)</f>
        <v>0</v>
      </c>
    </row>
    <row r="248" spans="1:9" x14ac:dyDescent="0.3">
      <c r="A248">
        <v>-118.75</v>
      </c>
      <c r="B248">
        <v>34.25</v>
      </c>
      <c r="C248">
        <v>2025</v>
      </c>
      <c r="D248">
        <v>1</v>
      </c>
      <c r="E248">
        <v>11</v>
      </c>
      <c r="F248">
        <f>Sayfa1!C248-273.15</f>
        <v>16.679833984375023</v>
      </c>
      <c r="G248">
        <v>40.8941650390625</v>
      </c>
      <c r="H248">
        <f>SQRT(Sayfa1!D248^2+Sayfa1!E248^2)</f>
        <v>1.2113625749414887</v>
      </c>
      <c r="I248">
        <f>SUM(Sayfa1!G225:G248)</f>
        <v>0</v>
      </c>
    </row>
    <row r="249" spans="1:9" x14ac:dyDescent="0.3">
      <c r="A249">
        <v>-118.75</v>
      </c>
      <c r="B249">
        <v>34.25</v>
      </c>
      <c r="C249">
        <v>2025</v>
      </c>
      <c r="D249">
        <v>1</v>
      </c>
      <c r="E249">
        <v>11</v>
      </c>
      <c r="F249">
        <f>Sayfa1!C249-273.15</f>
        <v>16.829614257812523</v>
      </c>
      <c r="G249">
        <v>42.628566741943359</v>
      </c>
      <c r="H249">
        <f>SQRT(Sayfa1!D249^2+Sayfa1!E249^2)</f>
        <v>1.3626710126597079</v>
      </c>
      <c r="I249">
        <f>SUM(Sayfa1!G226:G249)</f>
        <v>0</v>
      </c>
    </row>
    <row r="250" spans="1:9" x14ac:dyDescent="0.3">
      <c r="A250">
        <v>-118.75</v>
      </c>
      <c r="B250">
        <v>34.25</v>
      </c>
      <c r="C250">
        <v>2025</v>
      </c>
      <c r="D250">
        <v>1</v>
      </c>
      <c r="E250">
        <v>11</v>
      </c>
      <c r="F250">
        <f>Sayfa1!C250-273.15</f>
        <v>16.830346679687523</v>
      </c>
      <c r="G250">
        <v>44.193210601806641</v>
      </c>
      <c r="H250">
        <f>SQRT(Sayfa1!D250^2+Sayfa1!E250^2)</f>
        <v>1.4092314266037174</v>
      </c>
      <c r="I250">
        <f>SUM(Sayfa1!G227:G250)</f>
        <v>0</v>
      </c>
    </row>
    <row r="251" spans="1:9" x14ac:dyDescent="0.3">
      <c r="A251">
        <v>-118.75</v>
      </c>
      <c r="B251">
        <v>34.25</v>
      </c>
      <c r="C251">
        <v>2025</v>
      </c>
      <c r="D251">
        <v>1</v>
      </c>
      <c r="E251">
        <v>11</v>
      </c>
      <c r="F251">
        <f>Sayfa1!C251-273.15</f>
        <v>16.650292968750023</v>
      </c>
      <c r="G251">
        <v>43.842071533203125</v>
      </c>
      <c r="H251">
        <f>SQRT(Sayfa1!D251^2+Sayfa1!E251^2)</f>
        <v>1.4437056554017089</v>
      </c>
      <c r="I251">
        <f>SUM(Sayfa1!G228:G251)</f>
        <v>0</v>
      </c>
    </row>
    <row r="252" spans="1:9" x14ac:dyDescent="0.3">
      <c r="A252">
        <v>-118.75</v>
      </c>
      <c r="B252">
        <v>34.25</v>
      </c>
      <c r="C252">
        <v>2025</v>
      </c>
      <c r="D252">
        <v>1</v>
      </c>
      <c r="E252">
        <v>11</v>
      </c>
      <c r="F252">
        <f>Sayfa1!C252-273.15</f>
        <v>16.001000976562523</v>
      </c>
      <c r="G252">
        <v>37.602828979492188</v>
      </c>
      <c r="H252">
        <f>SQRT(Sayfa1!D252^2+Sayfa1!E252^2)</f>
        <v>1.5528058990763616</v>
      </c>
      <c r="I252">
        <f>SUM(Sayfa1!G229:G252)</f>
        <v>0</v>
      </c>
    </row>
    <row r="253" spans="1:9" x14ac:dyDescent="0.3">
      <c r="A253">
        <v>-118.75</v>
      </c>
      <c r="B253">
        <v>34.25</v>
      </c>
      <c r="C253">
        <v>2025</v>
      </c>
      <c r="D253">
        <v>1</v>
      </c>
      <c r="E253">
        <v>11</v>
      </c>
      <c r="F253">
        <f>Sayfa1!C253-273.15</f>
        <v>15.793603515625023</v>
      </c>
      <c r="G253">
        <v>34.370101928710938</v>
      </c>
      <c r="H253">
        <f>SQRT(Sayfa1!D253^2+Sayfa1!E253^2)</f>
        <v>1.59298548764759</v>
      </c>
      <c r="I253">
        <f>SUM(Sayfa1!G230:G253)</f>
        <v>0</v>
      </c>
    </row>
    <row r="254" spans="1:9" x14ac:dyDescent="0.3">
      <c r="A254">
        <v>-118.75</v>
      </c>
      <c r="B254">
        <v>34.25</v>
      </c>
      <c r="C254">
        <v>2025</v>
      </c>
      <c r="D254">
        <v>1</v>
      </c>
      <c r="E254">
        <v>11</v>
      </c>
      <c r="F254">
        <f>Sayfa1!C254-273.15</f>
        <v>15.438378906250023</v>
      </c>
      <c r="G254">
        <v>33.687957763671875</v>
      </c>
      <c r="H254">
        <f>SQRT(Sayfa1!D254^2+Sayfa1!E254^2)</f>
        <v>1.8093090288834852</v>
      </c>
      <c r="I254">
        <f>SUM(Sayfa1!G231:G254)</f>
        <v>0</v>
      </c>
    </row>
    <row r="255" spans="1:9" x14ac:dyDescent="0.3">
      <c r="A255">
        <v>-118.75</v>
      </c>
      <c r="B255">
        <v>34.25</v>
      </c>
      <c r="C255">
        <v>2025</v>
      </c>
      <c r="D255">
        <v>1</v>
      </c>
      <c r="E255">
        <v>11</v>
      </c>
      <c r="F255">
        <f>Sayfa1!C255-273.15</f>
        <v>15.449121093750023</v>
      </c>
      <c r="G255">
        <v>35.954635620117188</v>
      </c>
      <c r="H255">
        <f>SQRT(Sayfa1!D255^2+Sayfa1!E255^2)</f>
        <v>1.7660652204992451</v>
      </c>
      <c r="I255">
        <f>SUM(Sayfa1!G232:G255)</f>
        <v>0</v>
      </c>
    </row>
    <row r="256" spans="1:9" x14ac:dyDescent="0.3">
      <c r="A256">
        <v>-118.75</v>
      </c>
      <c r="B256">
        <v>34.25</v>
      </c>
      <c r="C256">
        <v>2025</v>
      </c>
      <c r="D256">
        <v>1</v>
      </c>
      <c r="E256">
        <v>11</v>
      </c>
      <c r="F256">
        <f>Sayfa1!C256-273.15</f>
        <v>15.426171875000023</v>
      </c>
      <c r="G256">
        <v>38.924453735351563</v>
      </c>
      <c r="H256">
        <f>SQRT(Sayfa1!D256^2+Sayfa1!E256^2)</f>
        <v>1.914176063246233</v>
      </c>
      <c r="I256">
        <f>SUM(Sayfa1!G233:G256)</f>
        <v>0</v>
      </c>
    </row>
    <row r="257" spans="1:9" x14ac:dyDescent="0.3">
      <c r="A257">
        <v>-118.75</v>
      </c>
      <c r="B257">
        <v>34.25</v>
      </c>
      <c r="C257">
        <v>2025</v>
      </c>
      <c r="D257">
        <v>1</v>
      </c>
      <c r="E257">
        <v>11</v>
      </c>
      <c r="F257">
        <f>Sayfa1!C257-273.15</f>
        <v>15.388085937500023</v>
      </c>
      <c r="G257">
        <v>41.901824951171875</v>
      </c>
      <c r="H257">
        <f>SQRT(Sayfa1!D257^2+Sayfa1!E257^2)</f>
        <v>2.0480020093296298</v>
      </c>
      <c r="I257">
        <f>SUM(Sayfa1!G234:G257)</f>
        <v>0</v>
      </c>
    </row>
    <row r="258" spans="1:9" x14ac:dyDescent="0.3">
      <c r="A258">
        <v>-118.75</v>
      </c>
      <c r="B258">
        <v>34.25</v>
      </c>
      <c r="C258">
        <v>2025</v>
      </c>
      <c r="D258">
        <v>1</v>
      </c>
      <c r="E258">
        <v>11</v>
      </c>
      <c r="F258">
        <f>Sayfa1!C258-273.15</f>
        <v>15.158837890625023</v>
      </c>
      <c r="G258">
        <v>40.913711547851563</v>
      </c>
      <c r="H258">
        <f>SQRT(Sayfa1!D258^2+Sayfa1!E258^2)</f>
        <v>2.0238221966841263</v>
      </c>
      <c r="I258">
        <f>SUM(Sayfa1!G235:G258)</f>
        <v>0</v>
      </c>
    </row>
    <row r="259" spans="1:9" x14ac:dyDescent="0.3">
      <c r="A259">
        <v>-118.75</v>
      </c>
      <c r="B259">
        <v>34.25</v>
      </c>
      <c r="C259">
        <v>2025</v>
      </c>
      <c r="D259">
        <v>1</v>
      </c>
      <c r="E259">
        <v>11</v>
      </c>
      <c r="F259">
        <f>Sayfa1!C259-273.15</f>
        <v>15.402612304687523</v>
      </c>
      <c r="G259">
        <v>32.8193359375</v>
      </c>
      <c r="H259">
        <f>SQRT(Sayfa1!D259^2+Sayfa1!E259^2)</f>
        <v>1.9327924870201403</v>
      </c>
      <c r="I259">
        <f>SUM(Sayfa1!G236:G259)</f>
        <v>0</v>
      </c>
    </row>
    <row r="260" spans="1:9" x14ac:dyDescent="0.3">
      <c r="A260">
        <v>-118.75</v>
      </c>
      <c r="B260">
        <v>34.25</v>
      </c>
      <c r="C260">
        <v>2025</v>
      </c>
      <c r="D260">
        <v>1</v>
      </c>
      <c r="E260">
        <v>11</v>
      </c>
      <c r="F260">
        <f>Sayfa1!C260-273.15</f>
        <v>16.011987304687523</v>
      </c>
      <c r="G260">
        <v>23.436080932617188</v>
      </c>
      <c r="H260">
        <f>SQRT(Sayfa1!D260^2+Sayfa1!E260^2)</f>
        <v>1.9778853700137033</v>
      </c>
      <c r="I260">
        <f>SUM(Sayfa1!G237:G260)</f>
        <v>0</v>
      </c>
    </row>
    <row r="261" spans="1:9" x14ac:dyDescent="0.3">
      <c r="A261">
        <v>-118.75</v>
      </c>
      <c r="B261">
        <v>34.25</v>
      </c>
      <c r="C261">
        <v>2025</v>
      </c>
      <c r="D261">
        <v>1</v>
      </c>
      <c r="E261">
        <v>11</v>
      </c>
      <c r="F261">
        <f>Sayfa1!C261-273.15</f>
        <v>18.453820800781273</v>
      </c>
      <c r="G261">
        <v>18.085983276367188</v>
      </c>
      <c r="H261">
        <f>SQRT(Sayfa1!D261^2+Sayfa1!E261^2)</f>
        <v>3.2071401697944113</v>
      </c>
      <c r="I261">
        <f>SUM(Sayfa1!G238:G261)</f>
        <v>0</v>
      </c>
    </row>
    <row r="262" spans="1:9" x14ac:dyDescent="0.3">
      <c r="A262">
        <v>-118.75</v>
      </c>
      <c r="B262">
        <v>34.25</v>
      </c>
      <c r="C262">
        <v>2025</v>
      </c>
      <c r="D262">
        <v>1</v>
      </c>
      <c r="E262">
        <v>11</v>
      </c>
      <c r="F262">
        <f>Sayfa1!C262-273.15</f>
        <v>19.645227050781273</v>
      </c>
      <c r="G262">
        <v>16.45330810546875</v>
      </c>
      <c r="H262">
        <f>SQRT(Sayfa1!D262^2+Sayfa1!E262^2)</f>
        <v>4.0858978280727172</v>
      </c>
      <c r="I262">
        <f>SUM(Sayfa1!G239:G262)</f>
        <v>0</v>
      </c>
    </row>
    <row r="263" spans="1:9" x14ac:dyDescent="0.3">
      <c r="A263">
        <v>-118.75</v>
      </c>
      <c r="B263">
        <v>34.25</v>
      </c>
      <c r="C263">
        <v>2025</v>
      </c>
      <c r="D263">
        <v>1</v>
      </c>
      <c r="E263">
        <v>11</v>
      </c>
      <c r="F263">
        <f>Sayfa1!C263-273.15</f>
        <v>20.435205078125023</v>
      </c>
      <c r="G263">
        <v>15.56544017791748</v>
      </c>
      <c r="H263">
        <f>SQRT(Sayfa1!D263^2+Sayfa1!E263^2)</f>
        <v>3.8944742508328565</v>
      </c>
      <c r="I263">
        <f>SUM(Sayfa1!G240:G263)</f>
        <v>0</v>
      </c>
    </row>
    <row r="264" spans="1:9" x14ac:dyDescent="0.3">
      <c r="A264">
        <v>-118.75</v>
      </c>
      <c r="B264">
        <v>34.25</v>
      </c>
      <c r="C264">
        <v>2025</v>
      </c>
      <c r="D264">
        <v>1</v>
      </c>
      <c r="E264">
        <v>11</v>
      </c>
      <c r="F264">
        <f>Sayfa1!C264-273.15</f>
        <v>20.831689453125023</v>
      </c>
      <c r="G264">
        <v>17.82861328125</v>
      </c>
      <c r="H264">
        <f>SQRT(Sayfa1!D264^2+Sayfa1!E264^2)</f>
        <v>2.4340452709884861</v>
      </c>
      <c r="I264">
        <f>SUM(Sayfa1!G241:G264)</f>
        <v>0</v>
      </c>
    </row>
    <row r="265" spans="1:9" x14ac:dyDescent="0.3">
      <c r="A265">
        <v>-118.75</v>
      </c>
      <c r="B265">
        <v>34.25</v>
      </c>
      <c r="C265">
        <v>2025</v>
      </c>
      <c r="D265">
        <v>1</v>
      </c>
      <c r="E265">
        <v>11</v>
      </c>
      <c r="F265">
        <f>Sayfa1!C265-273.15</f>
        <v>20.812768554687523</v>
      </c>
      <c r="G265">
        <v>18.6871337890625</v>
      </c>
      <c r="H265">
        <f>SQRT(Sayfa1!D265^2+Sayfa1!E265^2)</f>
        <v>2.5012192372401101</v>
      </c>
      <c r="I265">
        <f>SUM(Sayfa1!G242:G265)</f>
        <v>0</v>
      </c>
    </row>
    <row r="266" spans="1:9" x14ac:dyDescent="0.3">
      <c r="A266">
        <v>-118.75</v>
      </c>
      <c r="B266">
        <v>34.25</v>
      </c>
      <c r="C266">
        <v>2025</v>
      </c>
      <c r="D266">
        <v>1</v>
      </c>
      <c r="E266">
        <v>12</v>
      </c>
      <c r="F266">
        <f>Sayfa1!C266-273.15</f>
        <v>20.272729492187523</v>
      </c>
      <c r="G266">
        <v>20.775825500488281</v>
      </c>
      <c r="H266">
        <f>SQRT(Sayfa1!D266^2+Sayfa1!E266^2)</f>
        <v>1.7726433476200847</v>
      </c>
      <c r="I266">
        <f>SUM(Sayfa1!G243:G266)</f>
        <v>0</v>
      </c>
    </row>
    <row r="267" spans="1:9" x14ac:dyDescent="0.3">
      <c r="A267">
        <v>-118.75</v>
      </c>
      <c r="B267">
        <v>34.25</v>
      </c>
      <c r="C267">
        <v>2025</v>
      </c>
      <c r="D267">
        <v>1</v>
      </c>
      <c r="E267">
        <v>12</v>
      </c>
      <c r="F267">
        <f>Sayfa1!C267-273.15</f>
        <v>19.552026367187523</v>
      </c>
      <c r="G267">
        <v>25.500762939453125</v>
      </c>
      <c r="H267">
        <f>SQRT(Sayfa1!D267^2+Sayfa1!E267^2)</f>
        <v>1.868651580461516</v>
      </c>
      <c r="I267">
        <f>SUM(Sayfa1!G244:G267)</f>
        <v>0</v>
      </c>
    </row>
    <row r="268" spans="1:9" x14ac:dyDescent="0.3">
      <c r="A268">
        <v>-118.75</v>
      </c>
      <c r="B268">
        <v>34.25</v>
      </c>
      <c r="C268">
        <v>2025</v>
      </c>
      <c r="D268">
        <v>1</v>
      </c>
      <c r="E268">
        <v>12</v>
      </c>
      <c r="F268">
        <f>Sayfa1!C268-273.15</f>
        <v>18.916101074218773</v>
      </c>
      <c r="G268">
        <v>28.958158493041992</v>
      </c>
      <c r="H268">
        <f>SQRT(Sayfa1!D268^2+Sayfa1!E268^2)</f>
        <v>2.2365020847229857</v>
      </c>
      <c r="I268">
        <f>SUM(Sayfa1!G245:G268)</f>
        <v>0</v>
      </c>
    </row>
    <row r="269" spans="1:9" x14ac:dyDescent="0.3">
      <c r="A269">
        <v>-118.75</v>
      </c>
      <c r="B269">
        <v>34.25</v>
      </c>
      <c r="C269">
        <v>2025</v>
      </c>
      <c r="D269">
        <v>1</v>
      </c>
      <c r="E269">
        <v>12</v>
      </c>
      <c r="F269">
        <f>Sayfa1!C269-273.15</f>
        <v>17.796289062500023</v>
      </c>
      <c r="G269">
        <v>29.350337982177734</v>
      </c>
      <c r="H269">
        <f>SQRT(Sayfa1!D269^2+Sayfa1!E269^2)</f>
        <v>2.7772051274301539</v>
      </c>
      <c r="I269">
        <f>SUM(Sayfa1!G246:G269)</f>
        <v>0</v>
      </c>
    </row>
    <row r="270" spans="1:9" x14ac:dyDescent="0.3">
      <c r="A270">
        <v>-118.75</v>
      </c>
      <c r="B270">
        <v>34.25</v>
      </c>
      <c r="C270">
        <v>2025</v>
      </c>
      <c r="D270">
        <v>1</v>
      </c>
      <c r="E270">
        <v>12</v>
      </c>
      <c r="F270">
        <f>Sayfa1!C270-273.15</f>
        <v>16.746606445312523</v>
      </c>
      <c r="G270">
        <v>31.552133560180664</v>
      </c>
      <c r="H270">
        <f>SQRT(Sayfa1!D270^2+Sayfa1!E270^2)</f>
        <v>2.9026249795675092</v>
      </c>
      <c r="I270">
        <f>SUM(Sayfa1!G247:G270)</f>
        <v>0</v>
      </c>
    </row>
    <row r="271" spans="1:9" x14ac:dyDescent="0.3">
      <c r="A271">
        <v>-118.75</v>
      </c>
      <c r="B271">
        <v>34.25</v>
      </c>
      <c r="C271">
        <v>2025</v>
      </c>
      <c r="D271">
        <v>1</v>
      </c>
      <c r="E271">
        <v>12</v>
      </c>
      <c r="F271">
        <f>Sayfa1!C271-273.15</f>
        <v>16.176171875000023</v>
      </c>
      <c r="G271">
        <v>39.359420776367188</v>
      </c>
      <c r="H271">
        <f>SQRT(Sayfa1!D271^2+Sayfa1!E271^2)</f>
        <v>2.5164117220168767</v>
      </c>
      <c r="I271">
        <f>SUM(Sayfa1!G248:G271)</f>
        <v>0</v>
      </c>
    </row>
    <row r="272" spans="1:9" x14ac:dyDescent="0.3">
      <c r="A272">
        <v>-118.75</v>
      </c>
      <c r="B272">
        <v>34.25</v>
      </c>
      <c r="C272">
        <v>2025</v>
      </c>
      <c r="D272">
        <v>1</v>
      </c>
      <c r="E272">
        <v>12</v>
      </c>
      <c r="F272">
        <f>Sayfa1!C272-273.15</f>
        <v>15.953027343750023</v>
      </c>
      <c r="G272">
        <v>49.422256469726563</v>
      </c>
      <c r="H272">
        <f>SQRT(Sayfa1!D272^2+Sayfa1!E272^2)</f>
        <v>2.4626538861415823</v>
      </c>
      <c r="I272">
        <f>SUM(Sayfa1!G249:G272)</f>
        <v>0</v>
      </c>
    </row>
    <row r="273" spans="1:9" x14ac:dyDescent="0.3">
      <c r="A273">
        <v>-118.75</v>
      </c>
      <c r="B273">
        <v>34.25</v>
      </c>
      <c r="C273">
        <v>2025</v>
      </c>
      <c r="D273">
        <v>1</v>
      </c>
      <c r="E273">
        <v>12</v>
      </c>
      <c r="F273">
        <f>Sayfa1!C273-273.15</f>
        <v>15.789025878906273</v>
      </c>
      <c r="G273">
        <v>58.294597625732422</v>
      </c>
      <c r="H273">
        <f>SQRT(Sayfa1!D273^2+Sayfa1!E273^2)</f>
        <v>2.5948409141271034</v>
      </c>
      <c r="I273">
        <f>SUM(Sayfa1!G250:G273)</f>
        <v>0</v>
      </c>
    </row>
    <row r="274" spans="1:9" x14ac:dyDescent="0.3">
      <c r="A274">
        <v>-118.75</v>
      </c>
      <c r="B274">
        <v>34.25</v>
      </c>
      <c r="C274">
        <v>2025</v>
      </c>
      <c r="D274">
        <v>1</v>
      </c>
      <c r="E274">
        <v>12</v>
      </c>
      <c r="F274">
        <f>Sayfa1!C274-273.15</f>
        <v>15.620080566406273</v>
      </c>
      <c r="G274">
        <v>65.351753234863281</v>
      </c>
      <c r="H274">
        <f>SQRT(Sayfa1!D274^2+Sayfa1!E274^2)</f>
        <v>2.6638797117161634</v>
      </c>
      <c r="I274">
        <f>SUM(Sayfa1!G251:G274)</f>
        <v>0</v>
      </c>
    </row>
    <row r="275" spans="1:9" x14ac:dyDescent="0.3">
      <c r="A275">
        <v>-118.75</v>
      </c>
      <c r="B275">
        <v>34.25</v>
      </c>
      <c r="C275">
        <v>2025</v>
      </c>
      <c r="D275">
        <v>1</v>
      </c>
      <c r="E275">
        <v>12</v>
      </c>
      <c r="F275">
        <f>Sayfa1!C275-273.15</f>
        <v>15.259667968750023</v>
      </c>
      <c r="G275">
        <v>67.489097595214844</v>
      </c>
      <c r="H275">
        <f>SQRT(Sayfa1!D275^2+Sayfa1!E275^2)</f>
        <v>2.8312889264897318</v>
      </c>
      <c r="I275">
        <f>SUM(Sayfa1!G252:G275)</f>
        <v>0</v>
      </c>
    </row>
    <row r="276" spans="1:9" x14ac:dyDescent="0.3">
      <c r="A276">
        <v>-118.75</v>
      </c>
      <c r="B276">
        <v>34.25</v>
      </c>
      <c r="C276">
        <v>2025</v>
      </c>
      <c r="D276">
        <v>1</v>
      </c>
      <c r="E276">
        <v>12</v>
      </c>
      <c r="F276">
        <f>Sayfa1!C276-273.15</f>
        <v>15.479394531250023</v>
      </c>
      <c r="G276">
        <v>59.103897094726563</v>
      </c>
      <c r="H276">
        <f>SQRT(Sayfa1!D276^2+Sayfa1!E276^2)</f>
        <v>2.6151710989852543</v>
      </c>
      <c r="I276">
        <f>SUM(Sayfa1!G253:G276)</f>
        <v>0</v>
      </c>
    </row>
    <row r="277" spans="1:9" x14ac:dyDescent="0.3">
      <c r="A277">
        <v>-118.75</v>
      </c>
      <c r="B277">
        <v>34.25</v>
      </c>
      <c r="C277">
        <v>2025</v>
      </c>
      <c r="D277">
        <v>1</v>
      </c>
      <c r="E277">
        <v>12</v>
      </c>
      <c r="F277">
        <f>Sayfa1!C277-273.15</f>
        <v>15.038537597656273</v>
      </c>
      <c r="G277">
        <v>58.211204528808594</v>
      </c>
      <c r="H277">
        <f>SQRT(Sayfa1!D277^2+Sayfa1!E277^2)</f>
        <v>2.5962203494405247</v>
      </c>
      <c r="I277">
        <f>SUM(Sayfa1!G254:G277)</f>
        <v>0</v>
      </c>
    </row>
    <row r="278" spans="1:9" x14ac:dyDescent="0.3">
      <c r="A278">
        <v>-118.75</v>
      </c>
      <c r="B278">
        <v>34.25</v>
      </c>
      <c r="C278">
        <v>2025</v>
      </c>
      <c r="D278">
        <v>1</v>
      </c>
      <c r="E278">
        <v>12</v>
      </c>
      <c r="F278">
        <f>Sayfa1!C278-273.15</f>
        <v>14.730432128906273</v>
      </c>
      <c r="G278">
        <v>58.621746063232422</v>
      </c>
      <c r="H278">
        <f>SQRT(Sayfa1!D278^2+Sayfa1!E278^2)</f>
        <v>2.510546814883424</v>
      </c>
      <c r="I278">
        <f>SUM(Sayfa1!G255:G278)</f>
        <v>0</v>
      </c>
    </row>
    <row r="279" spans="1:9" x14ac:dyDescent="0.3">
      <c r="A279">
        <v>-118.75</v>
      </c>
      <c r="B279">
        <v>34.25</v>
      </c>
      <c r="C279">
        <v>2025</v>
      </c>
      <c r="D279">
        <v>1</v>
      </c>
      <c r="E279">
        <v>12</v>
      </c>
      <c r="F279">
        <f>Sayfa1!C279-273.15</f>
        <v>14.716882324218773</v>
      </c>
      <c r="G279">
        <v>62.135921478271484</v>
      </c>
      <c r="H279">
        <f>SQRT(Sayfa1!D279^2+Sayfa1!E279^2)</f>
        <v>2.5252850084316907</v>
      </c>
      <c r="I279">
        <f>SUM(Sayfa1!G256:G279)</f>
        <v>0</v>
      </c>
    </row>
    <row r="280" spans="1:9" x14ac:dyDescent="0.3">
      <c r="A280">
        <v>-118.75</v>
      </c>
      <c r="B280">
        <v>34.25</v>
      </c>
      <c r="C280">
        <v>2025</v>
      </c>
      <c r="D280">
        <v>1</v>
      </c>
      <c r="E280">
        <v>12</v>
      </c>
      <c r="F280">
        <f>Sayfa1!C280-273.15</f>
        <v>14.677575683593773</v>
      </c>
      <c r="G280">
        <v>64.235610961914063</v>
      </c>
      <c r="H280">
        <f>SQRT(Sayfa1!D280^2+Sayfa1!E280^2)</f>
        <v>2.5848019695688533</v>
      </c>
      <c r="I280">
        <f>SUM(Sayfa1!G257:G280)</f>
        <v>0</v>
      </c>
    </row>
    <row r="281" spans="1:9" x14ac:dyDescent="0.3">
      <c r="A281">
        <v>-118.75</v>
      </c>
      <c r="B281">
        <v>34.25</v>
      </c>
      <c r="C281">
        <v>2025</v>
      </c>
      <c r="D281">
        <v>1</v>
      </c>
      <c r="E281">
        <v>12</v>
      </c>
      <c r="F281">
        <f>Sayfa1!C281-273.15</f>
        <v>14.632897949218773</v>
      </c>
      <c r="G281">
        <v>63.0487060546875</v>
      </c>
      <c r="H281">
        <f>SQRT(Sayfa1!D281^2+Sayfa1!E281^2)</f>
        <v>2.6788882886285021</v>
      </c>
      <c r="I281">
        <f>SUM(Sayfa1!G258:G281)</f>
        <v>0</v>
      </c>
    </row>
    <row r="282" spans="1:9" x14ac:dyDescent="0.3">
      <c r="A282">
        <v>-118.75</v>
      </c>
      <c r="B282">
        <v>34.25</v>
      </c>
      <c r="C282">
        <v>2025</v>
      </c>
      <c r="D282">
        <v>1</v>
      </c>
      <c r="E282">
        <v>12</v>
      </c>
      <c r="F282">
        <f>Sayfa1!C282-273.15</f>
        <v>14.265344238281273</v>
      </c>
      <c r="G282">
        <v>52.632579803466797</v>
      </c>
      <c r="H282">
        <f>SQRT(Sayfa1!D282^2+Sayfa1!E282^2)</f>
        <v>2.6011768738476198</v>
      </c>
      <c r="I282">
        <f>SUM(Sayfa1!G259:G282)</f>
        <v>0</v>
      </c>
    </row>
    <row r="283" spans="1:9" x14ac:dyDescent="0.3">
      <c r="A283">
        <v>-118.75</v>
      </c>
      <c r="B283">
        <v>34.25</v>
      </c>
      <c r="C283">
        <v>2025</v>
      </c>
      <c r="D283">
        <v>1</v>
      </c>
      <c r="E283">
        <v>12</v>
      </c>
      <c r="F283">
        <f>Sayfa1!C283-273.15</f>
        <v>13.861657714843773</v>
      </c>
      <c r="G283">
        <v>30.355487823486328</v>
      </c>
      <c r="H283">
        <f>SQRT(Sayfa1!D283^2+Sayfa1!E283^2)</f>
        <v>2.3851808433802457</v>
      </c>
      <c r="I283">
        <f>SUM(Sayfa1!G260:G283)</f>
        <v>0</v>
      </c>
    </row>
    <row r="284" spans="1:9" x14ac:dyDescent="0.3">
      <c r="A284">
        <v>-118.75</v>
      </c>
      <c r="B284">
        <v>34.25</v>
      </c>
      <c r="C284">
        <v>2025</v>
      </c>
      <c r="D284">
        <v>1</v>
      </c>
      <c r="E284">
        <v>12</v>
      </c>
      <c r="F284">
        <f>Sayfa1!C284-273.15</f>
        <v>14.646997070312523</v>
      </c>
      <c r="G284">
        <v>15.739139556884766</v>
      </c>
      <c r="H284">
        <f>SQRT(Sayfa1!D284^2+Sayfa1!E284^2)</f>
        <v>4.120168036206775</v>
      </c>
      <c r="I284">
        <f>SUM(Sayfa1!G261:G284)</f>
        <v>0</v>
      </c>
    </row>
    <row r="285" spans="1:9" x14ac:dyDescent="0.3">
      <c r="A285">
        <v>-118.75</v>
      </c>
      <c r="B285">
        <v>34.25</v>
      </c>
      <c r="C285">
        <v>2025</v>
      </c>
      <c r="D285">
        <v>1</v>
      </c>
      <c r="E285">
        <v>12</v>
      </c>
      <c r="F285">
        <f>Sayfa1!C285-273.15</f>
        <v>15.593652343750023</v>
      </c>
      <c r="G285">
        <v>13.920759201049805</v>
      </c>
      <c r="H285">
        <f>SQRT(Sayfa1!D285^2+Sayfa1!E285^2)</f>
        <v>4.2884294098779527</v>
      </c>
      <c r="I285">
        <f>SUM(Sayfa1!G262:G285)</f>
        <v>0</v>
      </c>
    </row>
    <row r="286" spans="1:9" x14ac:dyDescent="0.3">
      <c r="A286">
        <v>-118.75</v>
      </c>
      <c r="B286">
        <v>34.25</v>
      </c>
      <c r="C286">
        <v>2025</v>
      </c>
      <c r="D286">
        <v>1</v>
      </c>
      <c r="E286">
        <v>12</v>
      </c>
      <c r="F286">
        <f>Sayfa1!C286-273.15</f>
        <v>16.368432617187523</v>
      </c>
      <c r="G286">
        <v>12.960556030273438</v>
      </c>
      <c r="H286">
        <f>SQRT(Sayfa1!D286^2+Sayfa1!E286^2)</f>
        <v>3.8976183540260982</v>
      </c>
      <c r="I286">
        <f>SUM(Sayfa1!G263:G286)</f>
        <v>0</v>
      </c>
    </row>
    <row r="287" spans="1:9" x14ac:dyDescent="0.3">
      <c r="A287">
        <v>-118.75</v>
      </c>
      <c r="B287">
        <v>34.25</v>
      </c>
      <c r="C287">
        <v>2025</v>
      </c>
      <c r="D287">
        <v>1</v>
      </c>
      <c r="E287">
        <v>12</v>
      </c>
      <c r="F287">
        <f>Sayfa1!C287-273.15</f>
        <v>16.925439453125023</v>
      </c>
      <c r="G287">
        <v>12.365803718566895</v>
      </c>
      <c r="H287">
        <f>SQRT(Sayfa1!D287^2+Sayfa1!E287^2)</f>
        <v>3.6162431882174237</v>
      </c>
      <c r="I287">
        <f>SUM(Sayfa1!G264:G287)</f>
        <v>0</v>
      </c>
    </row>
    <row r="288" spans="1:9" x14ac:dyDescent="0.3">
      <c r="A288">
        <v>-118.75</v>
      </c>
      <c r="B288">
        <v>34.25</v>
      </c>
      <c r="C288">
        <v>2025</v>
      </c>
      <c r="D288">
        <v>1</v>
      </c>
      <c r="E288">
        <v>12</v>
      </c>
      <c r="F288">
        <f>Sayfa1!C288-273.15</f>
        <v>17.571130371093773</v>
      </c>
      <c r="G288">
        <v>12.058236122131348</v>
      </c>
      <c r="H288">
        <f>SQRT(Sayfa1!D288^2+Sayfa1!E288^2)</f>
        <v>2.6794688537705591</v>
      </c>
      <c r="I288">
        <f>SUM(Sayfa1!G265:G288)</f>
        <v>0</v>
      </c>
    </row>
    <row r="289" spans="1:9" x14ac:dyDescent="0.3">
      <c r="A289">
        <v>-118.75</v>
      </c>
      <c r="B289">
        <v>34.25</v>
      </c>
      <c r="C289">
        <v>2025</v>
      </c>
      <c r="D289">
        <v>1</v>
      </c>
      <c r="E289">
        <v>12</v>
      </c>
      <c r="F289">
        <f>Sayfa1!C289-273.15</f>
        <v>17.795861816406273</v>
      </c>
      <c r="G289">
        <v>12.202980995178223</v>
      </c>
      <c r="H289">
        <f>SQRT(Sayfa1!D289^2+Sayfa1!E289^2)</f>
        <v>1.9675669541656227</v>
      </c>
      <c r="I289">
        <f>SUM(Sayfa1!G266:G289)</f>
        <v>0</v>
      </c>
    </row>
    <row r="290" spans="1:9" x14ac:dyDescent="0.3">
      <c r="A290">
        <v>-118.75</v>
      </c>
      <c r="B290">
        <v>34.25</v>
      </c>
      <c r="C290">
        <v>2025</v>
      </c>
      <c r="D290">
        <v>1</v>
      </c>
      <c r="E290">
        <v>13</v>
      </c>
      <c r="F290">
        <f>Sayfa1!C290-273.15</f>
        <v>17.670190429687523</v>
      </c>
      <c r="G290">
        <v>13.283519744873047</v>
      </c>
      <c r="H290">
        <f>SQRT(Sayfa1!D290^2+Sayfa1!E290^2)</f>
        <v>1.3688480566101349</v>
      </c>
      <c r="I290">
        <f>SUM(Sayfa1!G267:G290)</f>
        <v>0</v>
      </c>
    </row>
    <row r="291" spans="1:9" x14ac:dyDescent="0.3">
      <c r="A291">
        <v>-118.75</v>
      </c>
      <c r="B291">
        <v>34.25</v>
      </c>
      <c r="C291">
        <v>2025</v>
      </c>
      <c r="D291">
        <v>1</v>
      </c>
      <c r="E291">
        <v>13</v>
      </c>
      <c r="F291">
        <f>Sayfa1!C291-273.15</f>
        <v>17.137109375000023</v>
      </c>
      <c r="G291">
        <v>16.985019683837891</v>
      </c>
      <c r="H291">
        <f>SQRT(Sayfa1!D291^2+Sayfa1!E291^2)</f>
        <v>1.1748407074764524</v>
      </c>
      <c r="I291">
        <f>SUM(Sayfa1!G268:G291)</f>
        <v>0</v>
      </c>
    </row>
    <row r="292" spans="1:9" x14ac:dyDescent="0.3">
      <c r="A292">
        <v>-118.75</v>
      </c>
      <c r="B292">
        <v>34.25</v>
      </c>
      <c r="C292">
        <v>2025</v>
      </c>
      <c r="D292">
        <v>1</v>
      </c>
      <c r="E292">
        <v>13</v>
      </c>
      <c r="F292">
        <f>Sayfa1!C292-273.15</f>
        <v>16.550561523437523</v>
      </c>
      <c r="G292">
        <v>19.476001739501953</v>
      </c>
      <c r="H292">
        <f>SQRT(Sayfa1!D292^2+Sayfa1!E292^2)</f>
        <v>1.7750750136963069</v>
      </c>
      <c r="I292">
        <f>SUM(Sayfa1!G269:G292)</f>
        <v>0</v>
      </c>
    </row>
    <row r="293" spans="1:9" x14ac:dyDescent="0.3">
      <c r="A293">
        <v>-118.75</v>
      </c>
      <c r="B293">
        <v>34.25</v>
      </c>
      <c r="C293">
        <v>2025</v>
      </c>
      <c r="D293">
        <v>1</v>
      </c>
      <c r="E293">
        <v>13</v>
      </c>
      <c r="F293">
        <f>Sayfa1!C293-273.15</f>
        <v>15.986108398437523</v>
      </c>
      <c r="G293">
        <v>20.6578369140625</v>
      </c>
      <c r="H293">
        <f>SQRT(Sayfa1!D293^2+Sayfa1!E293^2)</f>
        <v>2.0933321415307264</v>
      </c>
      <c r="I293">
        <f>SUM(Sayfa1!G270:G293)</f>
        <v>0</v>
      </c>
    </row>
    <row r="294" spans="1:9" x14ac:dyDescent="0.3">
      <c r="A294">
        <v>-118.75</v>
      </c>
      <c r="B294">
        <v>34.25</v>
      </c>
      <c r="C294">
        <v>2025</v>
      </c>
      <c r="D294">
        <v>1</v>
      </c>
      <c r="E294">
        <v>13</v>
      </c>
      <c r="F294">
        <f>Sayfa1!C294-273.15</f>
        <v>15.502770996093773</v>
      </c>
      <c r="G294">
        <v>22.514022827148438</v>
      </c>
      <c r="H294">
        <f>SQRT(Sayfa1!D294^2+Sayfa1!E294^2)</f>
        <v>2.2967253446886557</v>
      </c>
      <c r="I294">
        <f>SUM(Sayfa1!G271:G294)</f>
        <v>0</v>
      </c>
    </row>
    <row r="295" spans="1:9" x14ac:dyDescent="0.3">
      <c r="A295">
        <v>-118.75</v>
      </c>
      <c r="B295">
        <v>34.25</v>
      </c>
      <c r="C295">
        <v>2025</v>
      </c>
      <c r="D295">
        <v>1</v>
      </c>
      <c r="E295">
        <v>13</v>
      </c>
      <c r="F295">
        <f>Sayfa1!C295-273.15</f>
        <v>15.093530273437523</v>
      </c>
      <c r="G295">
        <v>23.412002563476563</v>
      </c>
      <c r="H295">
        <f>SQRT(Sayfa1!D295^2+Sayfa1!E295^2)</f>
        <v>2.4714853444141989</v>
      </c>
      <c r="I295">
        <f>SUM(Sayfa1!G272:G295)</f>
        <v>0</v>
      </c>
    </row>
    <row r="296" spans="1:9" x14ac:dyDescent="0.3">
      <c r="A296">
        <v>-118.75</v>
      </c>
      <c r="B296">
        <v>34.25</v>
      </c>
      <c r="C296">
        <v>2025</v>
      </c>
      <c r="D296">
        <v>1</v>
      </c>
      <c r="E296">
        <v>13</v>
      </c>
      <c r="F296">
        <f>Sayfa1!C296-273.15</f>
        <v>14.584863281250023</v>
      </c>
      <c r="G296">
        <v>22.356353759765625</v>
      </c>
      <c r="H296">
        <f>SQRT(Sayfa1!D296^2+Sayfa1!E296^2)</f>
        <v>2.6954872831828505</v>
      </c>
      <c r="I296">
        <f>SUM(Sayfa1!G273:G296)</f>
        <v>0</v>
      </c>
    </row>
    <row r="297" spans="1:9" x14ac:dyDescent="0.3">
      <c r="A297">
        <v>-118.75</v>
      </c>
      <c r="B297">
        <v>34.25</v>
      </c>
      <c r="C297">
        <v>2025</v>
      </c>
      <c r="D297">
        <v>1</v>
      </c>
      <c r="E297">
        <v>13</v>
      </c>
      <c r="F297">
        <f>Sayfa1!C297-273.15</f>
        <v>14.203210449218773</v>
      </c>
      <c r="G297">
        <v>23.834243774414063</v>
      </c>
      <c r="H297">
        <f>SQRT(Sayfa1!D297^2+Sayfa1!E297^2)</f>
        <v>2.7243843613363454</v>
      </c>
      <c r="I297">
        <f>SUM(Sayfa1!G274:G297)</f>
        <v>0</v>
      </c>
    </row>
    <row r="298" spans="1:9" x14ac:dyDescent="0.3">
      <c r="A298">
        <v>-118.75</v>
      </c>
      <c r="B298">
        <v>34.25</v>
      </c>
      <c r="C298">
        <v>2025</v>
      </c>
      <c r="D298">
        <v>1</v>
      </c>
      <c r="E298">
        <v>13</v>
      </c>
      <c r="F298">
        <f>Sayfa1!C298-273.15</f>
        <v>13.946679687500023</v>
      </c>
      <c r="G298">
        <v>27.529891967773438</v>
      </c>
      <c r="H298">
        <f>SQRT(Sayfa1!D298^2+Sayfa1!E298^2)</f>
        <v>2.6631969534815938</v>
      </c>
      <c r="I298">
        <f>SUM(Sayfa1!G275:G298)</f>
        <v>0</v>
      </c>
    </row>
    <row r="299" spans="1:9" x14ac:dyDescent="0.3">
      <c r="A299">
        <v>-118.75</v>
      </c>
      <c r="B299">
        <v>34.25</v>
      </c>
      <c r="C299">
        <v>2025</v>
      </c>
      <c r="D299">
        <v>1</v>
      </c>
      <c r="E299">
        <v>13</v>
      </c>
      <c r="F299">
        <f>Sayfa1!C299-273.15</f>
        <v>13.747521972656273</v>
      </c>
      <c r="G299">
        <v>31.344390869140625</v>
      </c>
      <c r="H299">
        <f>SQRT(Sayfa1!D299^2+Sayfa1!E299^2)</f>
        <v>2.7171043682450549</v>
      </c>
      <c r="I299">
        <f>SUM(Sayfa1!G276:G299)</f>
        <v>0</v>
      </c>
    </row>
    <row r="300" spans="1:9" x14ac:dyDescent="0.3">
      <c r="A300">
        <v>-118.75</v>
      </c>
      <c r="B300">
        <v>34.25</v>
      </c>
      <c r="C300">
        <v>2025</v>
      </c>
      <c r="D300">
        <v>1</v>
      </c>
      <c r="E300">
        <v>13</v>
      </c>
      <c r="F300">
        <f>Sayfa1!C300-273.15</f>
        <v>13.649255371093773</v>
      </c>
      <c r="G300">
        <v>31.645267486572266</v>
      </c>
      <c r="H300">
        <f>SQRT(Sayfa1!D300^2+Sayfa1!E300^2)</f>
        <v>2.644770419241917</v>
      </c>
      <c r="I300">
        <f>SUM(Sayfa1!G277:G300)</f>
        <v>0</v>
      </c>
    </row>
    <row r="301" spans="1:9" x14ac:dyDescent="0.3">
      <c r="A301">
        <v>-118.75</v>
      </c>
      <c r="B301">
        <v>34.25</v>
      </c>
      <c r="C301">
        <v>2025</v>
      </c>
      <c r="D301">
        <v>1</v>
      </c>
      <c r="E301">
        <v>13</v>
      </c>
      <c r="F301">
        <f>Sayfa1!C301-273.15</f>
        <v>13.519555664062523</v>
      </c>
      <c r="G301">
        <v>34.126167297363281</v>
      </c>
      <c r="H301">
        <f>SQRT(Sayfa1!D301^2+Sayfa1!E301^2)</f>
        <v>2.7000518895683809</v>
      </c>
      <c r="I301">
        <f>SUM(Sayfa1!G278:G301)</f>
        <v>0</v>
      </c>
    </row>
    <row r="302" spans="1:9" x14ac:dyDescent="0.3">
      <c r="A302">
        <v>-118.75</v>
      </c>
      <c r="B302">
        <v>34.25</v>
      </c>
      <c r="C302">
        <v>2025</v>
      </c>
      <c r="D302">
        <v>1</v>
      </c>
      <c r="E302">
        <v>13</v>
      </c>
      <c r="F302">
        <f>Sayfa1!C302-273.15</f>
        <v>13.040063476562523</v>
      </c>
      <c r="G302">
        <v>34.434085845947266</v>
      </c>
      <c r="H302">
        <f>SQRT(Sayfa1!D302^2+Sayfa1!E302^2)</f>
        <v>2.9145473635022867</v>
      </c>
      <c r="I302">
        <f>SUM(Sayfa1!G279:G302)</f>
        <v>0</v>
      </c>
    </row>
    <row r="303" spans="1:9" x14ac:dyDescent="0.3">
      <c r="A303">
        <v>-118.75</v>
      </c>
      <c r="B303">
        <v>34.25</v>
      </c>
      <c r="C303">
        <v>2025</v>
      </c>
      <c r="D303">
        <v>1</v>
      </c>
      <c r="E303">
        <v>13</v>
      </c>
      <c r="F303">
        <f>Sayfa1!C303-273.15</f>
        <v>12.398156738281273</v>
      </c>
      <c r="G303">
        <v>31.614940643310547</v>
      </c>
      <c r="H303">
        <f>SQRT(Sayfa1!D303^2+Sayfa1!E303^2)</f>
        <v>3.0185037743295831</v>
      </c>
      <c r="I303">
        <f>SUM(Sayfa1!G280:G303)</f>
        <v>0</v>
      </c>
    </row>
    <row r="304" spans="1:9" x14ac:dyDescent="0.3">
      <c r="A304">
        <v>-118.75</v>
      </c>
      <c r="B304">
        <v>34.25</v>
      </c>
      <c r="C304">
        <v>2025</v>
      </c>
      <c r="D304">
        <v>1</v>
      </c>
      <c r="E304">
        <v>13</v>
      </c>
      <c r="F304">
        <f>Sayfa1!C304-273.15</f>
        <v>12.027062988281273</v>
      </c>
      <c r="G304">
        <v>29.666107177734375</v>
      </c>
      <c r="H304">
        <f>SQRT(Sayfa1!D304^2+Sayfa1!E304^2)</f>
        <v>2.8804103169160884</v>
      </c>
      <c r="I304">
        <f>SUM(Sayfa1!G281:G304)</f>
        <v>0</v>
      </c>
    </row>
    <row r="305" spans="1:9" x14ac:dyDescent="0.3">
      <c r="A305">
        <v>-118.75</v>
      </c>
      <c r="B305">
        <v>34.25</v>
      </c>
      <c r="C305">
        <v>2025</v>
      </c>
      <c r="D305">
        <v>1</v>
      </c>
      <c r="E305">
        <v>13</v>
      </c>
      <c r="F305">
        <f>Sayfa1!C305-273.15</f>
        <v>11.703454589843773</v>
      </c>
      <c r="G305">
        <v>28.979736328125</v>
      </c>
      <c r="H305">
        <f>SQRT(Sayfa1!D305^2+Sayfa1!E305^2)</f>
        <v>2.9857766046478678</v>
      </c>
      <c r="I305">
        <f>SUM(Sayfa1!G282:G305)</f>
        <v>0</v>
      </c>
    </row>
    <row r="306" spans="1:9" x14ac:dyDescent="0.3">
      <c r="A306">
        <v>-118.75</v>
      </c>
      <c r="B306">
        <v>34.25</v>
      </c>
      <c r="C306">
        <v>2025</v>
      </c>
      <c r="D306">
        <v>1</v>
      </c>
      <c r="E306">
        <v>13</v>
      </c>
      <c r="F306">
        <f>Sayfa1!C306-273.15</f>
        <v>11.144128417968773</v>
      </c>
      <c r="G306">
        <v>24.884246826171875</v>
      </c>
      <c r="H306">
        <f>SQRT(Sayfa1!D306^2+Sayfa1!E306^2)</f>
        <v>3.5319216685015071</v>
      </c>
      <c r="I306">
        <f>SUM(Sayfa1!G283:G306)</f>
        <v>0</v>
      </c>
    </row>
    <row r="307" spans="1:9" x14ac:dyDescent="0.3">
      <c r="A307">
        <v>-118.75</v>
      </c>
      <c r="B307">
        <v>34.25</v>
      </c>
      <c r="C307">
        <v>2025</v>
      </c>
      <c r="D307">
        <v>1</v>
      </c>
      <c r="E307">
        <v>13</v>
      </c>
      <c r="F307">
        <f>Sayfa1!C307-273.15</f>
        <v>11.368127441406273</v>
      </c>
      <c r="G307">
        <v>21.3387451171875</v>
      </c>
      <c r="H307">
        <f>SQRT(Sayfa1!D307^2+Sayfa1!E307^2)</f>
        <v>4.5072534015478132</v>
      </c>
      <c r="I307">
        <f>SUM(Sayfa1!G284:G307)</f>
        <v>0</v>
      </c>
    </row>
    <row r="308" spans="1:9" x14ac:dyDescent="0.3">
      <c r="A308">
        <v>-118.75</v>
      </c>
      <c r="B308">
        <v>34.25</v>
      </c>
      <c r="C308">
        <v>2025</v>
      </c>
      <c r="D308">
        <v>1</v>
      </c>
      <c r="E308">
        <v>13</v>
      </c>
      <c r="F308">
        <f>Sayfa1!C308-273.15</f>
        <v>12.501123046875023</v>
      </c>
      <c r="G308">
        <v>18.878799438476563</v>
      </c>
      <c r="H308">
        <f>SQRT(Sayfa1!D308^2+Sayfa1!E308^2)</f>
        <v>5.7977995717565749</v>
      </c>
      <c r="I308">
        <f>SUM(Sayfa1!G285:G308)</f>
        <v>0</v>
      </c>
    </row>
    <row r="309" spans="1:9" x14ac:dyDescent="0.3">
      <c r="A309">
        <v>-118.75</v>
      </c>
      <c r="B309">
        <v>34.25</v>
      </c>
      <c r="C309">
        <v>2025</v>
      </c>
      <c r="D309">
        <v>1</v>
      </c>
      <c r="E309">
        <v>13</v>
      </c>
      <c r="F309">
        <f>Sayfa1!C309-273.15</f>
        <v>13.497033691406273</v>
      </c>
      <c r="G309">
        <v>17.244873046875</v>
      </c>
      <c r="H309">
        <f>SQRT(Sayfa1!D309^2+Sayfa1!E309^2)</f>
        <v>5.9644577762614164</v>
      </c>
      <c r="I309">
        <f>SUM(Sayfa1!G286:G309)</f>
        <v>0</v>
      </c>
    </row>
    <row r="310" spans="1:9" x14ac:dyDescent="0.3">
      <c r="A310">
        <v>-118.75</v>
      </c>
      <c r="B310">
        <v>34.25</v>
      </c>
      <c r="C310">
        <v>2025</v>
      </c>
      <c r="D310">
        <v>1</v>
      </c>
      <c r="E310">
        <v>13</v>
      </c>
      <c r="F310">
        <f>Sayfa1!C310-273.15</f>
        <v>14.336450195312523</v>
      </c>
      <c r="G310">
        <v>15.729623794555664</v>
      </c>
      <c r="H310">
        <f>SQRT(Sayfa1!D310^2+Sayfa1!E310^2)</f>
        <v>5.8415395883661052</v>
      </c>
      <c r="I310">
        <f>SUM(Sayfa1!G287:G310)</f>
        <v>0</v>
      </c>
    </row>
    <row r="311" spans="1:9" x14ac:dyDescent="0.3">
      <c r="A311">
        <v>-118.75</v>
      </c>
      <c r="B311">
        <v>34.25</v>
      </c>
      <c r="C311">
        <v>2025</v>
      </c>
      <c r="D311">
        <v>1</v>
      </c>
      <c r="E311">
        <v>13</v>
      </c>
      <c r="F311">
        <f>Sayfa1!C311-273.15</f>
        <v>15.009301757812523</v>
      </c>
      <c r="G311">
        <v>14.272899627685547</v>
      </c>
      <c r="H311">
        <f>SQRT(Sayfa1!D311^2+Sayfa1!E311^2)</f>
        <v>5.5641346352762522</v>
      </c>
      <c r="I311">
        <f>SUM(Sayfa1!G288:G311)</f>
        <v>0</v>
      </c>
    </row>
    <row r="312" spans="1:9" x14ac:dyDescent="0.3">
      <c r="A312">
        <v>-118.75</v>
      </c>
      <c r="B312">
        <v>34.25</v>
      </c>
      <c r="C312">
        <v>2025</v>
      </c>
      <c r="D312">
        <v>1</v>
      </c>
      <c r="E312">
        <v>13</v>
      </c>
      <c r="F312">
        <f>Sayfa1!C312-273.15</f>
        <v>15.659875488281273</v>
      </c>
      <c r="G312">
        <v>13.410778045654297</v>
      </c>
      <c r="H312">
        <f>SQRT(Sayfa1!D312^2+Sayfa1!E312^2)</f>
        <v>4.3479468849847507</v>
      </c>
      <c r="I312">
        <f>SUM(Sayfa1!G289:G312)</f>
        <v>0</v>
      </c>
    </row>
    <row r="313" spans="1:9" x14ac:dyDescent="0.3">
      <c r="A313">
        <v>-118.75</v>
      </c>
      <c r="B313">
        <v>34.25</v>
      </c>
      <c r="C313">
        <v>2025</v>
      </c>
      <c r="D313">
        <v>1</v>
      </c>
      <c r="E313">
        <v>13</v>
      </c>
      <c r="F313">
        <f>Sayfa1!C313-273.15</f>
        <v>16.109948730468773</v>
      </c>
      <c r="G313">
        <v>12.93525505065918</v>
      </c>
      <c r="H313">
        <f>SQRT(Sayfa1!D313^2+Sayfa1!E313^2)</f>
        <v>3.9942244860185943</v>
      </c>
      <c r="I313">
        <f>SUM(Sayfa1!G290:G313)</f>
        <v>0</v>
      </c>
    </row>
    <row r="314" spans="1:9" x14ac:dyDescent="0.3">
      <c r="A314">
        <v>-118.75</v>
      </c>
      <c r="B314">
        <v>34.25</v>
      </c>
      <c r="C314">
        <v>2025</v>
      </c>
      <c r="D314">
        <v>1</v>
      </c>
      <c r="E314">
        <v>14</v>
      </c>
      <c r="F314">
        <f>Sayfa1!C314-273.15</f>
        <v>16.141015625000023</v>
      </c>
      <c r="G314">
        <v>13.13870906829834</v>
      </c>
      <c r="H314">
        <f>SQRT(Sayfa1!D314^2+Sayfa1!E314^2)</f>
        <v>3.2793034830148926</v>
      </c>
      <c r="I314">
        <f>SUM(Sayfa1!G291:G314)</f>
        <v>0</v>
      </c>
    </row>
    <row r="315" spans="1:9" x14ac:dyDescent="0.3">
      <c r="A315">
        <v>-118.75</v>
      </c>
      <c r="B315">
        <v>34.25</v>
      </c>
      <c r="C315">
        <v>2025</v>
      </c>
      <c r="D315">
        <v>1</v>
      </c>
      <c r="E315">
        <v>14</v>
      </c>
      <c r="F315">
        <f>Sayfa1!C315-273.15</f>
        <v>15.702172851562523</v>
      </c>
      <c r="G315">
        <v>14.846987724304199</v>
      </c>
      <c r="H315">
        <f>SQRT(Sayfa1!D315^2+Sayfa1!E315^2)</f>
        <v>2.6515415058825016</v>
      </c>
      <c r="I315">
        <f>SUM(Sayfa1!G292:G315)</f>
        <v>0</v>
      </c>
    </row>
    <row r="316" spans="1:9" x14ac:dyDescent="0.3">
      <c r="A316">
        <v>-118.75</v>
      </c>
      <c r="B316">
        <v>34.25</v>
      </c>
      <c r="C316">
        <v>2025</v>
      </c>
      <c r="D316">
        <v>1</v>
      </c>
      <c r="E316">
        <v>14</v>
      </c>
      <c r="F316">
        <f>Sayfa1!C316-273.15</f>
        <v>14.959252929687523</v>
      </c>
      <c r="G316">
        <v>16.165449142456055</v>
      </c>
      <c r="H316">
        <f>SQRT(Sayfa1!D316^2+Sayfa1!E316^2)</f>
        <v>2.7396193427678317</v>
      </c>
      <c r="I316">
        <f>SUM(Sayfa1!G293:G316)</f>
        <v>0</v>
      </c>
    </row>
    <row r="317" spans="1:9" x14ac:dyDescent="0.3">
      <c r="A317">
        <v>-118.75</v>
      </c>
      <c r="B317">
        <v>34.25</v>
      </c>
      <c r="C317">
        <v>2025</v>
      </c>
      <c r="D317">
        <v>1</v>
      </c>
      <c r="E317">
        <v>14</v>
      </c>
      <c r="F317">
        <f>Sayfa1!C317-273.15</f>
        <v>14.191613769531273</v>
      </c>
      <c r="G317">
        <v>16.878963470458984</v>
      </c>
      <c r="H317">
        <f>SQRT(Sayfa1!D317^2+Sayfa1!E317^2)</f>
        <v>3.0316610907451937</v>
      </c>
      <c r="I317">
        <f>SUM(Sayfa1!G294:G317)</f>
        <v>0</v>
      </c>
    </row>
    <row r="318" spans="1:9" x14ac:dyDescent="0.3">
      <c r="A318">
        <v>-118.75</v>
      </c>
      <c r="B318">
        <v>34.25</v>
      </c>
      <c r="C318">
        <v>2025</v>
      </c>
      <c r="D318">
        <v>1</v>
      </c>
      <c r="E318">
        <v>14</v>
      </c>
      <c r="F318">
        <f>Sayfa1!C318-273.15</f>
        <v>13.696130371093773</v>
      </c>
      <c r="G318">
        <v>17.259382247924805</v>
      </c>
      <c r="H318">
        <f>SQRT(Sayfa1!D318^2+Sayfa1!E318^2)</f>
        <v>3.1330509850480621</v>
      </c>
      <c r="I318">
        <f>SUM(Sayfa1!G295:G318)</f>
        <v>0</v>
      </c>
    </row>
    <row r="319" spans="1:9" x14ac:dyDescent="0.3">
      <c r="A319">
        <v>-118.75</v>
      </c>
      <c r="B319">
        <v>34.25</v>
      </c>
      <c r="C319">
        <v>2025</v>
      </c>
      <c r="D319">
        <v>1</v>
      </c>
      <c r="E319">
        <v>14</v>
      </c>
      <c r="F319">
        <f>Sayfa1!C319-273.15</f>
        <v>13.375634765625023</v>
      </c>
      <c r="G319">
        <v>17.450262069702148</v>
      </c>
      <c r="H319">
        <f>SQRT(Sayfa1!D319^2+Sayfa1!E319^2)</f>
        <v>3.1112494774544888</v>
      </c>
      <c r="I319">
        <f>SUM(Sayfa1!G296:G319)</f>
        <v>0</v>
      </c>
    </row>
    <row r="320" spans="1:9" x14ac:dyDescent="0.3">
      <c r="A320">
        <v>-118.75</v>
      </c>
      <c r="B320">
        <v>34.25</v>
      </c>
      <c r="C320">
        <v>2025</v>
      </c>
      <c r="D320">
        <v>1</v>
      </c>
      <c r="E320">
        <v>14</v>
      </c>
      <c r="F320">
        <f>Sayfa1!C320-273.15</f>
        <v>13.147790527343773</v>
      </c>
      <c r="G320">
        <v>18.220027923583984</v>
      </c>
      <c r="H320">
        <f>SQRT(Sayfa1!D320^2+Sayfa1!E320^2)</f>
        <v>3.0625285032418392</v>
      </c>
      <c r="I320">
        <f>SUM(Sayfa1!G297:G320)</f>
        <v>0</v>
      </c>
    </row>
    <row r="321" spans="1:9" x14ac:dyDescent="0.3">
      <c r="A321">
        <v>-118.75</v>
      </c>
      <c r="B321">
        <v>34.25</v>
      </c>
      <c r="C321">
        <v>2025</v>
      </c>
      <c r="D321">
        <v>1</v>
      </c>
      <c r="E321">
        <v>14</v>
      </c>
      <c r="F321">
        <f>Sayfa1!C321-273.15</f>
        <v>13.050317382812523</v>
      </c>
      <c r="G321">
        <v>19.650680541992188</v>
      </c>
      <c r="H321">
        <f>SQRT(Sayfa1!D321^2+Sayfa1!E321^2)</f>
        <v>2.9941449591837954</v>
      </c>
      <c r="I321">
        <f>SUM(Sayfa1!G298:G321)</f>
        <v>0</v>
      </c>
    </row>
    <row r="322" spans="1:9" x14ac:dyDescent="0.3">
      <c r="A322">
        <v>-118.75</v>
      </c>
      <c r="B322">
        <v>34.25</v>
      </c>
      <c r="C322">
        <v>2025</v>
      </c>
      <c r="D322">
        <v>1</v>
      </c>
      <c r="E322">
        <v>14</v>
      </c>
      <c r="F322">
        <f>Sayfa1!C322-273.15</f>
        <v>13.045312500000023</v>
      </c>
      <c r="G322">
        <v>22.039943695068359</v>
      </c>
      <c r="H322">
        <f>SQRT(Sayfa1!D322^2+Sayfa1!E322^2)</f>
        <v>2.9851688455283742</v>
      </c>
      <c r="I322">
        <f>SUM(Sayfa1!G299:G322)</f>
        <v>0</v>
      </c>
    </row>
    <row r="323" spans="1:9" x14ac:dyDescent="0.3">
      <c r="A323">
        <v>-118.75</v>
      </c>
      <c r="B323">
        <v>34.25</v>
      </c>
      <c r="C323">
        <v>2025</v>
      </c>
      <c r="D323">
        <v>1</v>
      </c>
      <c r="E323">
        <v>14</v>
      </c>
      <c r="F323">
        <f>Sayfa1!C323-273.15</f>
        <v>12.953149414062523</v>
      </c>
      <c r="G323">
        <v>23.070911407470703</v>
      </c>
      <c r="H323">
        <f>SQRT(Sayfa1!D323^2+Sayfa1!E323^2)</f>
        <v>3.0913601213335471</v>
      </c>
      <c r="I323">
        <f>SUM(Sayfa1!G300:G323)</f>
        <v>0</v>
      </c>
    </row>
    <row r="324" spans="1:9" x14ac:dyDescent="0.3">
      <c r="A324">
        <v>-118.75</v>
      </c>
      <c r="B324">
        <v>34.25</v>
      </c>
      <c r="C324">
        <v>2025</v>
      </c>
      <c r="D324">
        <v>1</v>
      </c>
      <c r="E324">
        <v>14</v>
      </c>
      <c r="F324">
        <f>Sayfa1!C324-273.15</f>
        <v>13.077539062500023</v>
      </c>
      <c r="G324">
        <v>23.844348907470703</v>
      </c>
      <c r="H324">
        <f>SQRT(Sayfa1!D324^2+Sayfa1!E324^2)</f>
        <v>2.6229839332489311</v>
      </c>
      <c r="I324">
        <f>SUM(Sayfa1!G301:G324)</f>
        <v>0</v>
      </c>
    </row>
    <row r="325" spans="1:9" x14ac:dyDescent="0.3">
      <c r="A325">
        <v>-118.75</v>
      </c>
      <c r="B325">
        <v>34.25</v>
      </c>
      <c r="C325">
        <v>2025</v>
      </c>
      <c r="D325">
        <v>1</v>
      </c>
      <c r="E325">
        <v>14</v>
      </c>
      <c r="F325">
        <f>Sayfa1!C325-273.15</f>
        <v>13.485925292968773</v>
      </c>
      <c r="G325">
        <v>27.344627380371094</v>
      </c>
      <c r="H325">
        <f>SQRT(Sayfa1!D325^2+Sayfa1!E325^2)</f>
        <v>2.5890225567453089</v>
      </c>
      <c r="I325">
        <f>SUM(Sayfa1!G302:G325)</f>
        <v>0</v>
      </c>
    </row>
    <row r="326" spans="1:9" x14ac:dyDescent="0.3">
      <c r="A326">
        <v>-118.75</v>
      </c>
      <c r="B326">
        <v>34.25</v>
      </c>
      <c r="C326">
        <v>2025</v>
      </c>
      <c r="D326">
        <v>1</v>
      </c>
      <c r="E326">
        <v>14</v>
      </c>
      <c r="F326">
        <f>Sayfa1!C326-273.15</f>
        <v>13.815515136718773</v>
      </c>
      <c r="G326">
        <v>29.934000015258789</v>
      </c>
      <c r="H326">
        <f>SQRT(Sayfa1!D326^2+Sayfa1!E326^2)</f>
        <v>2.6051535739246026</v>
      </c>
      <c r="I326">
        <f>SUM(Sayfa1!G303:G326)</f>
        <v>0</v>
      </c>
    </row>
    <row r="327" spans="1:9" x14ac:dyDescent="0.3">
      <c r="A327">
        <v>-118.75</v>
      </c>
      <c r="B327">
        <v>34.25</v>
      </c>
      <c r="C327">
        <v>2025</v>
      </c>
      <c r="D327">
        <v>1</v>
      </c>
      <c r="E327">
        <v>14</v>
      </c>
      <c r="F327">
        <f>Sayfa1!C327-273.15</f>
        <v>14.151513671875023</v>
      </c>
      <c r="G327">
        <v>31.774459838867188</v>
      </c>
      <c r="H327">
        <f>SQRT(Sayfa1!D327^2+Sayfa1!E327^2)</f>
        <v>2.5983465536808494</v>
      </c>
      <c r="I327">
        <f>SUM(Sayfa1!G304:G327)</f>
        <v>0</v>
      </c>
    </row>
    <row r="328" spans="1:9" x14ac:dyDescent="0.3">
      <c r="A328">
        <v>-118.75</v>
      </c>
      <c r="B328">
        <v>34.25</v>
      </c>
      <c r="C328">
        <v>2025</v>
      </c>
      <c r="D328">
        <v>1</v>
      </c>
      <c r="E328">
        <v>14</v>
      </c>
      <c r="F328">
        <f>Sayfa1!C328-273.15</f>
        <v>14.337243652343773</v>
      </c>
      <c r="G328">
        <v>33.040000915527344</v>
      </c>
      <c r="H328">
        <f>SQRT(Sayfa1!D328^2+Sayfa1!E328^2)</f>
        <v>2.5680398064593644</v>
      </c>
      <c r="I328">
        <f>SUM(Sayfa1!G305:G328)</f>
        <v>0</v>
      </c>
    </row>
    <row r="329" spans="1:9" x14ac:dyDescent="0.3">
      <c r="A329">
        <v>-118.75</v>
      </c>
      <c r="B329">
        <v>34.25</v>
      </c>
      <c r="C329">
        <v>2025</v>
      </c>
      <c r="D329">
        <v>1</v>
      </c>
      <c r="E329">
        <v>14</v>
      </c>
      <c r="F329">
        <f>Sayfa1!C329-273.15</f>
        <v>14.249536132812523</v>
      </c>
      <c r="G329">
        <v>33.617988586425781</v>
      </c>
      <c r="H329">
        <f>SQRT(Sayfa1!D329^2+Sayfa1!E329^2)</f>
        <v>2.680682124101351</v>
      </c>
      <c r="I329">
        <f>SUM(Sayfa1!G306:G329)</f>
        <v>0</v>
      </c>
    </row>
    <row r="330" spans="1:9" x14ac:dyDescent="0.3">
      <c r="A330">
        <v>-118.75</v>
      </c>
      <c r="B330">
        <v>34.25</v>
      </c>
      <c r="C330">
        <v>2025</v>
      </c>
      <c r="D330">
        <v>1</v>
      </c>
      <c r="E330">
        <v>14</v>
      </c>
      <c r="F330">
        <f>Sayfa1!C330-273.15</f>
        <v>14.005273437500023</v>
      </c>
      <c r="G330">
        <v>32.17156982421875</v>
      </c>
      <c r="H330">
        <f>SQRT(Sayfa1!D330^2+Sayfa1!E330^2)</f>
        <v>2.6023902286892771</v>
      </c>
      <c r="I330">
        <f>SUM(Sayfa1!G307:G330)</f>
        <v>0</v>
      </c>
    </row>
    <row r="331" spans="1:9" x14ac:dyDescent="0.3">
      <c r="A331">
        <v>-118.75</v>
      </c>
      <c r="B331">
        <v>34.25</v>
      </c>
      <c r="C331">
        <v>2025</v>
      </c>
      <c r="D331">
        <v>1</v>
      </c>
      <c r="E331">
        <v>14</v>
      </c>
      <c r="F331">
        <f>Sayfa1!C331-273.15</f>
        <v>13.659692382812523</v>
      </c>
      <c r="G331">
        <v>24.462654113769531</v>
      </c>
      <c r="H331">
        <f>SQRT(Sayfa1!D331^2+Sayfa1!E331^2)</f>
        <v>2.2036667429961998</v>
      </c>
      <c r="I331">
        <f>SUM(Sayfa1!G308:G331)</f>
        <v>0</v>
      </c>
    </row>
    <row r="332" spans="1:9" x14ac:dyDescent="0.3">
      <c r="A332">
        <v>-118.75</v>
      </c>
      <c r="B332">
        <v>34.25</v>
      </c>
      <c r="C332">
        <v>2025</v>
      </c>
      <c r="D332">
        <v>1</v>
      </c>
      <c r="E332">
        <v>14</v>
      </c>
      <c r="F332">
        <f>Sayfa1!C332-273.15</f>
        <v>14.084558105468773</v>
      </c>
      <c r="G332">
        <v>16.540817260742188</v>
      </c>
      <c r="H332">
        <f>SQRT(Sayfa1!D332^2+Sayfa1!E332^2)</f>
        <v>3.3005130492390937</v>
      </c>
      <c r="I332">
        <f>SUM(Sayfa1!G309:G332)</f>
        <v>0</v>
      </c>
    </row>
    <row r="333" spans="1:9" x14ac:dyDescent="0.3">
      <c r="A333">
        <v>-118.75</v>
      </c>
      <c r="B333">
        <v>34.25</v>
      </c>
      <c r="C333">
        <v>2025</v>
      </c>
      <c r="D333">
        <v>1</v>
      </c>
      <c r="E333">
        <v>14</v>
      </c>
      <c r="F333">
        <f>Sayfa1!C333-273.15</f>
        <v>15.325036621093773</v>
      </c>
      <c r="G333">
        <v>15.086435317993164</v>
      </c>
      <c r="H333">
        <f>SQRT(Sayfa1!D333^2+Sayfa1!E333^2)</f>
        <v>4.4028961191889007</v>
      </c>
      <c r="I333">
        <f>SUM(Sayfa1!G310:G333)</f>
        <v>0</v>
      </c>
    </row>
    <row r="334" spans="1:9" x14ac:dyDescent="0.3">
      <c r="A334">
        <v>-118.75</v>
      </c>
      <c r="B334">
        <v>34.25</v>
      </c>
      <c r="C334">
        <v>2025</v>
      </c>
      <c r="D334">
        <v>1</v>
      </c>
      <c r="E334">
        <v>14</v>
      </c>
      <c r="F334">
        <f>Sayfa1!C334-273.15</f>
        <v>16.398828125000023</v>
      </c>
      <c r="G334">
        <v>13.817448616027832</v>
      </c>
      <c r="H334">
        <f>SQRT(Sayfa1!D334^2+Sayfa1!E334^2)</f>
        <v>4.4196521605994112</v>
      </c>
      <c r="I334">
        <f>SUM(Sayfa1!G311:G334)</f>
        <v>0</v>
      </c>
    </row>
    <row r="335" spans="1:9" x14ac:dyDescent="0.3">
      <c r="A335">
        <v>-118.75</v>
      </c>
      <c r="B335">
        <v>34.25</v>
      </c>
      <c r="C335">
        <v>2025</v>
      </c>
      <c r="D335">
        <v>1</v>
      </c>
      <c r="E335">
        <v>14</v>
      </c>
      <c r="F335">
        <f>Sayfa1!C335-273.15</f>
        <v>17.325463867187523</v>
      </c>
      <c r="G335">
        <v>12.672744750976563</v>
      </c>
      <c r="H335">
        <f>SQRT(Sayfa1!D335^2+Sayfa1!E335^2)</f>
        <v>4.3045958486346061</v>
      </c>
      <c r="I335">
        <f>SUM(Sayfa1!G312:G335)</f>
        <v>0</v>
      </c>
    </row>
    <row r="336" spans="1:9" x14ac:dyDescent="0.3">
      <c r="A336">
        <v>-118.75</v>
      </c>
      <c r="B336">
        <v>34.25</v>
      </c>
      <c r="C336">
        <v>2025</v>
      </c>
      <c r="D336">
        <v>1</v>
      </c>
      <c r="E336">
        <v>14</v>
      </c>
      <c r="F336">
        <f>Sayfa1!C336-273.15</f>
        <v>17.555078125000023</v>
      </c>
      <c r="G336">
        <v>12.038439750671387</v>
      </c>
      <c r="H336">
        <f>SQRT(Sayfa1!D336^2+Sayfa1!E336^2)</f>
        <v>2.5751619946668329</v>
      </c>
      <c r="I336">
        <f>SUM(Sayfa1!G313:G336)</f>
        <v>0</v>
      </c>
    </row>
    <row r="337" spans="1:9" x14ac:dyDescent="0.3">
      <c r="A337">
        <v>-118.75</v>
      </c>
      <c r="B337">
        <v>34.25</v>
      </c>
      <c r="C337">
        <v>2025</v>
      </c>
      <c r="D337">
        <v>1</v>
      </c>
      <c r="E337">
        <v>14</v>
      </c>
      <c r="F337">
        <f>Sayfa1!C337-273.15</f>
        <v>18.194482421875023</v>
      </c>
      <c r="G337">
        <v>11.636940002441406</v>
      </c>
      <c r="H337">
        <f>SQRT(Sayfa1!D337^2+Sayfa1!E337^2)</f>
        <v>2.3359055409768956</v>
      </c>
      <c r="I337">
        <f>SUM(Sayfa1!G314:G337)</f>
        <v>0</v>
      </c>
    </row>
    <row r="338" spans="1:9" x14ac:dyDescent="0.3">
      <c r="A338">
        <v>-118.75</v>
      </c>
      <c r="B338">
        <v>34.25</v>
      </c>
      <c r="C338">
        <v>2025</v>
      </c>
      <c r="D338">
        <v>1</v>
      </c>
      <c r="E338">
        <v>15</v>
      </c>
      <c r="F338">
        <f>Sayfa1!C338-273.15</f>
        <v>18.218103027343773</v>
      </c>
      <c r="G338">
        <v>13.126104354858398</v>
      </c>
      <c r="H338">
        <f>SQRT(Sayfa1!D338^2+Sayfa1!E338^2)</f>
        <v>1.5736206042525307</v>
      </c>
      <c r="I338">
        <f>SUM(Sayfa1!G315:G338)</f>
        <v>0</v>
      </c>
    </row>
    <row r="339" spans="1:9" x14ac:dyDescent="0.3">
      <c r="A339">
        <v>-118.75</v>
      </c>
      <c r="B339">
        <v>34.25</v>
      </c>
      <c r="C339">
        <v>2025</v>
      </c>
      <c r="D339">
        <v>1</v>
      </c>
      <c r="E339">
        <v>15</v>
      </c>
      <c r="F339">
        <f>Sayfa1!C339-273.15</f>
        <v>17.569421386718773</v>
      </c>
      <c r="G339">
        <v>17.233905792236328</v>
      </c>
      <c r="H339">
        <f>SQRT(Sayfa1!D339^2+Sayfa1!E339^2)</f>
        <v>1.3711646821076422</v>
      </c>
      <c r="I339">
        <f>SUM(Sayfa1!G316:G339)</f>
        <v>0</v>
      </c>
    </row>
    <row r="340" spans="1:9" x14ac:dyDescent="0.3">
      <c r="A340">
        <v>-118.75</v>
      </c>
      <c r="B340">
        <v>34.25</v>
      </c>
      <c r="C340">
        <v>2025</v>
      </c>
      <c r="D340">
        <v>1</v>
      </c>
      <c r="E340">
        <v>15</v>
      </c>
      <c r="F340">
        <f>Sayfa1!C340-273.15</f>
        <v>16.906091308593773</v>
      </c>
      <c r="G340">
        <v>22.045047760009766</v>
      </c>
      <c r="H340">
        <f>SQRT(Sayfa1!D340^2+Sayfa1!E340^2)</f>
        <v>1.6266973125217081</v>
      </c>
      <c r="I340">
        <f>SUM(Sayfa1!G317:G340)</f>
        <v>0</v>
      </c>
    </row>
    <row r="341" spans="1:9" x14ac:dyDescent="0.3">
      <c r="A341">
        <v>-118.75</v>
      </c>
      <c r="B341">
        <v>34.25</v>
      </c>
      <c r="C341">
        <v>2025</v>
      </c>
      <c r="D341">
        <v>1</v>
      </c>
      <c r="E341">
        <v>15</v>
      </c>
      <c r="F341">
        <f>Sayfa1!C341-273.15</f>
        <v>16.608300781250023</v>
      </c>
      <c r="G341">
        <v>24.883329391479492</v>
      </c>
      <c r="H341">
        <f>SQRT(Sayfa1!D341^2+Sayfa1!E341^2)</f>
        <v>1.9891507995915785</v>
      </c>
      <c r="I341">
        <f>SUM(Sayfa1!G318:G341)</f>
        <v>0</v>
      </c>
    </row>
    <row r="342" spans="1:9" x14ac:dyDescent="0.3">
      <c r="A342">
        <v>-118.75</v>
      </c>
      <c r="B342">
        <v>34.25</v>
      </c>
      <c r="C342">
        <v>2025</v>
      </c>
      <c r="D342">
        <v>1</v>
      </c>
      <c r="E342">
        <v>15</v>
      </c>
      <c r="F342">
        <f>Sayfa1!C342-273.15</f>
        <v>16.470727539062523</v>
      </c>
      <c r="G342">
        <v>26.278884887695313</v>
      </c>
      <c r="H342">
        <f>SQRT(Sayfa1!D342^2+Sayfa1!E342^2)</f>
        <v>2.3489333320364363</v>
      </c>
      <c r="I342">
        <f>SUM(Sayfa1!G319:G342)</f>
        <v>0</v>
      </c>
    </row>
    <row r="343" spans="1:9" x14ac:dyDescent="0.3">
      <c r="A343">
        <v>-118.75</v>
      </c>
      <c r="B343">
        <v>34.25</v>
      </c>
      <c r="C343">
        <v>2025</v>
      </c>
      <c r="D343">
        <v>1</v>
      </c>
      <c r="E343">
        <v>15</v>
      </c>
      <c r="F343">
        <f>Sayfa1!C343-273.15</f>
        <v>16.400781250000023</v>
      </c>
      <c r="G343">
        <v>26.145004272460938</v>
      </c>
      <c r="H343">
        <f>SQRT(Sayfa1!D343^2+Sayfa1!E343^2)</f>
        <v>2.6677392102747275</v>
      </c>
      <c r="I343">
        <f>SUM(Sayfa1!G320:G343)</f>
        <v>0</v>
      </c>
    </row>
    <row r="344" spans="1:9" x14ac:dyDescent="0.3">
      <c r="A344">
        <v>-118.75</v>
      </c>
      <c r="B344">
        <v>34.25</v>
      </c>
      <c r="C344">
        <v>2025</v>
      </c>
      <c r="D344">
        <v>1</v>
      </c>
      <c r="E344">
        <v>15</v>
      </c>
      <c r="F344">
        <f>Sayfa1!C344-273.15</f>
        <v>16.295739746093773</v>
      </c>
      <c r="G344">
        <v>24.742019653320313</v>
      </c>
      <c r="H344">
        <f>SQRT(Sayfa1!D344^2+Sayfa1!E344^2)</f>
        <v>2.8866640197543094</v>
      </c>
      <c r="I344">
        <f>SUM(Sayfa1!G321:G344)</f>
        <v>0</v>
      </c>
    </row>
    <row r="345" spans="1:9" x14ac:dyDescent="0.3">
      <c r="A345">
        <v>-118.75</v>
      </c>
      <c r="B345">
        <v>34.25</v>
      </c>
      <c r="C345">
        <v>2025</v>
      </c>
      <c r="D345">
        <v>1</v>
      </c>
      <c r="E345">
        <v>15</v>
      </c>
      <c r="F345">
        <f>Sayfa1!C345-273.15</f>
        <v>16.123010253906273</v>
      </c>
      <c r="G345">
        <v>22.933841705322266</v>
      </c>
      <c r="H345">
        <f>SQRT(Sayfa1!D345^2+Sayfa1!E345^2)</f>
        <v>3.0095082188574853</v>
      </c>
      <c r="I345">
        <f>SUM(Sayfa1!G322:G345)</f>
        <v>0</v>
      </c>
    </row>
    <row r="346" spans="1:9" x14ac:dyDescent="0.3">
      <c r="A346">
        <v>-118.75</v>
      </c>
      <c r="B346">
        <v>34.25</v>
      </c>
      <c r="C346">
        <v>2025</v>
      </c>
      <c r="D346">
        <v>1</v>
      </c>
      <c r="E346">
        <v>15</v>
      </c>
      <c r="F346">
        <f>Sayfa1!C346-273.15</f>
        <v>15.920129394531273</v>
      </c>
      <c r="G346">
        <v>22.373153686523438</v>
      </c>
      <c r="H346">
        <f>SQRT(Sayfa1!D346^2+Sayfa1!E346^2)</f>
        <v>3.0821269027899496</v>
      </c>
      <c r="I346">
        <f>SUM(Sayfa1!G323:G346)</f>
        <v>0</v>
      </c>
    </row>
    <row r="347" spans="1:9" x14ac:dyDescent="0.3">
      <c r="A347">
        <v>-118.75</v>
      </c>
      <c r="B347">
        <v>34.25</v>
      </c>
      <c r="C347">
        <v>2025</v>
      </c>
      <c r="D347">
        <v>1</v>
      </c>
      <c r="E347">
        <v>15</v>
      </c>
      <c r="F347">
        <f>Sayfa1!C347-273.15</f>
        <v>15.779626464843773</v>
      </c>
      <c r="G347">
        <v>24.007436752319336</v>
      </c>
      <c r="H347">
        <f>SQRT(Sayfa1!D347^2+Sayfa1!E347^2)</f>
        <v>3.054572967794706</v>
      </c>
      <c r="I347">
        <f>SUM(Sayfa1!G324:G347)</f>
        <v>0</v>
      </c>
    </row>
    <row r="348" spans="1:9" x14ac:dyDescent="0.3">
      <c r="A348">
        <v>-118.75</v>
      </c>
      <c r="B348">
        <v>34.25</v>
      </c>
      <c r="C348">
        <v>2025</v>
      </c>
      <c r="D348">
        <v>1</v>
      </c>
      <c r="E348">
        <v>15</v>
      </c>
      <c r="F348">
        <f>Sayfa1!C348-273.15</f>
        <v>16.716882324218773</v>
      </c>
      <c r="G348">
        <v>25.226470947265625</v>
      </c>
      <c r="H348">
        <f>SQRT(Sayfa1!D348^2+Sayfa1!E348^2)</f>
        <v>2.7502004827783741</v>
      </c>
      <c r="I348">
        <f>SUM(Sayfa1!G325:G348)</f>
        <v>0</v>
      </c>
    </row>
    <row r="349" spans="1:9" x14ac:dyDescent="0.3">
      <c r="A349">
        <v>-118.75</v>
      </c>
      <c r="B349">
        <v>34.25</v>
      </c>
      <c r="C349">
        <v>2025</v>
      </c>
      <c r="D349">
        <v>1</v>
      </c>
      <c r="E349">
        <v>15</v>
      </c>
      <c r="F349">
        <f>Sayfa1!C349-273.15</f>
        <v>16.639733886718773</v>
      </c>
      <c r="G349">
        <v>27.592473983764648</v>
      </c>
      <c r="H349">
        <f>SQRT(Sayfa1!D349^2+Sayfa1!E349^2)</f>
        <v>2.589547902079492</v>
      </c>
      <c r="I349">
        <f>SUM(Sayfa1!G326:G349)</f>
        <v>0</v>
      </c>
    </row>
    <row r="350" spans="1:9" x14ac:dyDescent="0.3">
      <c r="A350">
        <v>-118.75</v>
      </c>
      <c r="B350">
        <v>34.25</v>
      </c>
      <c r="C350">
        <v>2025</v>
      </c>
      <c r="D350">
        <v>1</v>
      </c>
      <c r="E350">
        <v>15</v>
      </c>
      <c r="F350">
        <f>Sayfa1!C350-273.15</f>
        <v>16.632775878906273</v>
      </c>
      <c r="G350">
        <v>29.090435028076172</v>
      </c>
      <c r="H350">
        <f>SQRT(Sayfa1!D350^2+Sayfa1!E350^2)</f>
        <v>2.5847172494356259</v>
      </c>
      <c r="I350">
        <f>SUM(Sayfa1!G327:G350)</f>
        <v>0</v>
      </c>
    </row>
    <row r="351" spans="1:9" x14ac:dyDescent="0.3">
      <c r="A351">
        <v>-118.75</v>
      </c>
      <c r="B351">
        <v>34.25</v>
      </c>
      <c r="C351">
        <v>2025</v>
      </c>
      <c r="D351">
        <v>1</v>
      </c>
      <c r="E351">
        <v>15</v>
      </c>
      <c r="F351">
        <f>Sayfa1!C351-273.15</f>
        <v>16.719201660156273</v>
      </c>
      <c r="G351">
        <v>30.189804077148438</v>
      </c>
      <c r="H351">
        <f>SQRT(Sayfa1!D351^2+Sayfa1!E351^2)</f>
        <v>2.6185013748700467</v>
      </c>
      <c r="I351">
        <f>SUM(Sayfa1!G328:G351)</f>
        <v>0</v>
      </c>
    </row>
    <row r="352" spans="1:9" x14ac:dyDescent="0.3">
      <c r="A352">
        <v>-118.75</v>
      </c>
      <c r="B352">
        <v>34.25</v>
      </c>
      <c r="C352">
        <v>2025</v>
      </c>
      <c r="D352">
        <v>1</v>
      </c>
      <c r="E352">
        <v>15</v>
      </c>
      <c r="F352">
        <f>Sayfa1!C352-273.15</f>
        <v>16.743310546875023</v>
      </c>
      <c r="G352">
        <v>31.171649932861328</v>
      </c>
      <c r="H352">
        <f>SQRT(Sayfa1!D352^2+Sayfa1!E352^2)</f>
        <v>2.6715884395296894</v>
      </c>
      <c r="I352">
        <f>SUM(Sayfa1!G329:G352)</f>
        <v>0</v>
      </c>
    </row>
    <row r="353" spans="1:9" x14ac:dyDescent="0.3">
      <c r="A353">
        <v>-118.75</v>
      </c>
      <c r="B353">
        <v>34.25</v>
      </c>
      <c r="C353">
        <v>2025</v>
      </c>
      <c r="D353">
        <v>1</v>
      </c>
      <c r="E353">
        <v>15</v>
      </c>
      <c r="F353">
        <f>Sayfa1!C353-273.15</f>
        <v>16.584069824218773</v>
      </c>
      <c r="G353">
        <v>31.132164001464844</v>
      </c>
      <c r="H353">
        <f>SQRT(Sayfa1!D353^2+Sayfa1!E353^2)</f>
        <v>2.7437596349347428</v>
      </c>
      <c r="I353">
        <f>SUM(Sayfa1!G330:G353)</f>
        <v>0</v>
      </c>
    </row>
    <row r="354" spans="1:9" x14ac:dyDescent="0.3">
      <c r="A354">
        <v>-118.75</v>
      </c>
      <c r="B354">
        <v>34.25</v>
      </c>
      <c r="C354">
        <v>2025</v>
      </c>
      <c r="D354">
        <v>1</v>
      </c>
      <c r="E354">
        <v>15</v>
      </c>
      <c r="F354">
        <f>Sayfa1!C354-273.15</f>
        <v>16.394738769531273</v>
      </c>
      <c r="G354">
        <v>28.850131988525391</v>
      </c>
      <c r="H354">
        <f>SQRT(Sayfa1!D354^2+Sayfa1!E354^2)</f>
        <v>2.5693403803643062</v>
      </c>
      <c r="I354">
        <f>SUM(Sayfa1!G331:G354)</f>
        <v>0</v>
      </c>
    </row>
    <row r="355" spans="1:9" x14ac:dyDescent="0.3">
      <c r="A355">
        <v>-118.75</v>
      </c>
      <c r="B355">
        <v>34.25</v>
      </c>
      <c r="C355">
        <v>2025</v>
      </c>
      <c r="D355">
        <v>1</v>
      </c>
      <c r="E355">
        <v>15</v>
      </c>
      <c r="F355">
        <f>Sayfa1!C355-273.15</f>
        <v>16.257714843750023</v>
      </c>
      <c r="G355">
        <v>21.822816848754883</v>
      </c>
      <c r="H355">
        <f>SQRT(Sayfa1!D355^2+Sayfa1!E355^2)</f>
        <v>2.3044721058231534</v>
      </c>
      <c r="I355">
        <f>SUM(Sayfa1!G332:G355)</f>
        <v>0</v>
      </c>
    </row>
    <row r="356" spans="1:9" x14ac:dyDescent="0.3">
      <c r="A356">
        <v>-118.75</v>
      </c>
      <c r="B356">
        <v>34.25</v>
      </c>
      <c r="C356">
        <v>2025</v>
      </c>
      <c r="D356">
        <v>1</v>
      </c>
      <c r="E356">
        <v>15</v>
      </c>
      <c r="F356">
        <f>Sayfa1!C356-273.15</f>
        <v>16.800988769531273</v>
      </c>
      <c r="G356">
        <v>15.775581359863281</v>
      </c>
      <c r="H356">
        <f>SQRT(Sayfa1!D356^2+Sayfa1!E356^2)</f>
        <v>3.3897511054351952</v>
      </c>
      <c r="I356">
        <f>SUM(Sayfa1!G333:G356)</f>
        <v>0</v>
      </c>
    </row>
    <row r="357" spans="1:9" x14ac:dyDescent="0.3">
      <c r="A357">
        <v>-118.75</v>
      </c>
      <c r="B357">
        <v>34.25</v>
      </c>
      <c r="C357">
        <v>2025</v>
      </c>
      <c r="D357">
        <v>1</v>
      </c>
      <c r="E357">
        <v>15</v>
      </c>
      <c r="F357">
        <f>Sayfa1!C357-273.15</f>
        <v>18.221337890625023</v>
      </c>
      <c r="G357">
        <v>13.456264495849609</v>
      </c>
      <c r="H357">
        <f>SQRT(Sayfa1!D357^2+Sayfa1!E357^2)</f>
        <v>4.5605877231436969</v>
      </c>
      <c r="I357">
        <f>SUM(Sayfa1!G334:G357)</f>
        <v>0</v>
      </c>
    </row>
    <row r="358" spans="1:9" x14ac:dyDescent="0.3">
      <c r="A358">
        <v>-118.75</v>
      </c>
      <c r="B358">
        <v>34.25</v>
      </c>
      <c r="C358">
        <v>2025</v>
      </c>
      <c r="D358">
        <v>1</v>
      </c>
      <c r="E358">
        <v>15</v>
      </c>
      <c r="F358">
        <f>Sayfa1!C358-273.15</f>
        <v>19.196618652343773</v>
      </c>
      <c r="G358">
        <v>11.803608894348145</v>
      </c>
      <c r="H358">
        <f>SQRT(Sayfa1!D358^2+Sayfa1!E358^2)</f>
        <v>4.8007138609230307</v>
      </c>
      <c r="I358">
        <f>SUM(Sayfa1!G335:G358)</f>
        <v>0</v>
      </c>
    </row>
    <row r="359" spans="1:9" x14ac:dyDescent="0.3">
      <c r="A359">
        <v>-118.75</v>
      </c>
      <c r="B359">
        <v>34.25</v>
      </c>
      <c r="C359">
        <v>2025</v>
      </c>
      <c r="D359">
        <v>1</v>
      </c>
      <c r="E359">
        <v>15</v>
      </c>
      <c r="F359">
        <f>Sayfa1!C359-273.15</f>
        <v>19.812585449218773</v>
      </c>
      <c r="G359">
        <v>10.378025054931641</v>
      </c>
      <c r="H359">
        <f>SQRT(Sayfa1!D359^2+Sayfa1!E359^2)</f>
        <v>4.5986139559009835</v>
      </c>
      <c r="I359">
        <f>SUM(Sayfa1!G336:G359)</f>
        <v>0</v>
      </c>
    </row>
    <row r="360" spans="1:9" x14ac:dyDescent="0.3">
      <c r="A360">
        <v>-118.75</v>
      </c>
      <c r="B360">
        <v>34.25</v>
      </c>
      <c r="C360">
        <v>2025</v>
      </c>
      <c r="D360">
        <v>1</v>
      </c>
      <c r="E360">
        <v>15</v>
      </c>
      <c r="F360">
        <f>Sayfa1!C360-273.15</f>
        <v>20.092736816406273</v>
      </c>
      <c r="G360">
        <v>9.5001926422119141</v>
      </c>
      <c r="H360">
        <f>SQRT(Sayfa1!D360^2+Sayfa1!E360^2)</f>
        <v>4.0879630735901458</v>
      </c>
      <c r="I360">
        <f>SUM(Sayfa1!G337:G360)</f>
        <v>0</v>
      </c>
    </row>
    <row r="361" spans="1:9" x14ac:dyDescent="0.3">
      <c r="A361">
        <v>-118.75</v>
      </c>
      <c r="B361">
        <v>34.25</v>
      </c>
      <c r="C361">
        <v>2025</v>
      </c>
      <c r="D361">
        <v>1</v>
      </c>
      <c r="E361">
        <v>15</v>
      </c>
      <c r="F361">
        <f>Sayfa1!C361-273.15</f>
        <v>20.272058105468773</v>
      </c>
      <c r="G361">
        <v>8.6289606094360352</v>
      </c>
      <c r="H361">
        <f>SQRT(Sayfa1!D361^2+Sayfa1!E361^2)</f>
        <v>3.230814732039172</v>
      </c>
      <c r="I361">
        <f>SUM(Sayfa1!G338:G361)</f>
        <v>0</v>
      </c>
    </row>
    <row r="362" spans="1:9" x14ac:dyDescent="0.3">
      <c r="A362">
        <v>-118.75</v>
      </c>
      <c r="B362">
        <v>34.25</v>
      </c>
      <c r="C362">
        <v>2025</v>
      </c>
      <c r="D362">
        <v>1</v>
      </c>
      <c r="E362">
        <v>16</v>
      </c>
      <c r="F362">
        <f>Sayfa1!C362-273.15</f>
        <v>19.940881347656273</v>
      </c>
      <c r="G362">
        <v>9.6513729095458984</v>
      </c>
      <c r="H362">
        <f>SQRT(Sayfa1!D362^2+Sayfa1!E362^2)</f>
        <v>2.127365917167106</v>
      </c>
      <c r="I362">
        <f>SUM(Sayfa1!G339:G362)</f>
        <v>0</v>
      </c>
    </row>
    <row r="363" spans="1:9" x14ac:dyDescent="0.3">
      <c r="A363">
        <v>-118.75</v>
      </c>
      <c r="B363">
        <v>34.25</v>
      </c>
      <c r="C363">
        <v>2025</v>
      </c>
      <c r="D363">
        <v>1</v>
      </c>
      <c r="E363">
        <v>16</v>
      </c>
      <c r="F363">
        <f>Sayfa1!C363-273.15</f>
        <v>19.012048339843773</v>
      </c>
      <c r="G363">
        <v>13.684739112854004</v>
      </c>
      <c r="H363">
        <f>SQRT(Sayfa1!D363^2+Sayfa1!E363^2)</f>
        <v>1.5520513547536123</v>
      </c>
      <c r="I363">
        <f>SUM(Sayfa1!G340:G363)</f>
        <v>0</v>
      </c>
    </row>
    <row r="364" spans="1:9" x14ac:dyDescent="0.3">
      <c r="A364">
        <v>-118.75</v>
      </c>
      <c r="B364">
        <v>34.25</v>
      </c>
      <c r="C364">
        <v>2025</v>
      </c>
      <c r="D364">
        <v>1</v>
      </c>
      <c r="E364">
        <v>16</v>
      </c>
      <c r="F364">
        <f>Sayfa1!C364-273.15</f>
        <v>18.034997558593773</v>
      </c>
      <c r="G364">
        <v>16.047172546386719</v>
      </c>
      <c r="H364">
        <f>SQRT(Sayfa1!D364^2+Sayfa1!E364^2)</f>
        <v>2.0916300844811131</v>
      </c>
      <c r="I364">
        <f>SUM(Sayfa1!G341:G364)</f>
        <v>0</v>
      </c>
    </row>
    <row r="365" spans="1:9" x14ac:dyDescent="0.3">
      <c r="A365">
        <v>-118.75</v>
      </c>
      <c r="B365">
        <v>34.25</v>
      </c>
      <c r="C365">
        <v>2025</v>
      </c>
      <c r="D365">
        <v>1</v>
      </c>
      <c r="E365">
        <v>16</v>
      </c>
      <c r="F365">
        <f>Sayfa1!C365-273.15</f>
        <v>17.353295898437523</v>
      </c>
      <c r="G365">
        <v>15.949477195739746</v>
      </c>
      <c r="H365">
        <f>SQRT(Sayfa1!D365^2+Sayfa1!E365^2)</f>
        <v>2.5945928237282949</v>
      </c>
      <c r="I365">
        <f>SUM(Sayfa1!G342:G365)</f>
        <v>0</v>
      </c>
    </row>
    <row r="366" spans="1:9" x14ac:dyDescent="0.3">
      <c r="A366">
        <v>-118.75</v>
      </c>
      <c r="B366">
        <v>34.25</v>
      </c>
      <c r="C366">
        <v>2025</v>
      </c>
      <c r="D366">
        <v>1</v>
      </c>
      <c r="E366">
        <v>16</v>
      </c>
      <c r="F366">
        <f>Sayfa1!C366-273.15</f>
        <v>16.974755859375023</v>
      </c>
      <c r="G366">
        <v>15.558806419372559</v>
      </c>
      <c r="H366">
        <f>SQRT(Sayfa1!D366^2+Sayfa1!E366^2)</f>
        <v>2.7178861136866277</v>
      </c>
      <c r="I366">
        <f>SUM(Sayfa1!G343:G366)</f>
        <v>0</v>
      </c>
    </row>
    <row r="367" spans="1:9" x14ac:dyDescent="0.3">
      <c r="A367">
        <v>-118.75</v>
      </c>
      <c r="B367">
        <v>34.25</v>
      </c>
      <c r="C367">
        <v>2025</v>
      </c>
      <c r="D367">
        <v>1</v>
      </c>
      <c r="E367">
        <v>16</v>
      </c>
      <c r="F367">
        <f>Sayfa1!C367-273.15</f>
        <v>16.762536621093773</v>
      </c>
      <c r="G367">
        <v>15.133466720581055</v>
      </c>
      <c r="H367">
        <f>SQRT(Sayfa1!D367^2+Sayfa1!E367^2)</f>
        <v>2.732944403839829</v>
      </c>
      <c r="I367">
        <f>SUM(Sayfa1!G344:G367)</f>
        <v>0</v>
      </c>
    </row>
    <row r="368" spans="1:9" x14ac:dyDescent="0.3">
      <c r="A368">
        <v>-118.75</v>
      </c>
      <c r="B368">
        <v>34.25</v>
      </c>
      <c r="C368">
        <v>2025</v>
      </c>
      <c r="D368">
        <v>1</v>
      </c>
      <c r="E368">
        <v>16</v>
      </c>
      <c r="F368">
        <f>Sayfa1!C368-273.15</f>
        <v>16.637658691406273</v>
      </c>
      <c r="G368">
        <v>15.909233093261719</v>
      </c>
      <c r="H368">
        <f>SQRT(Sayfa1!D368^2+Sayfa1!E368^2)</f>
        <v>2.7669766310621879</v>
      </c>
      <c r="I368">
        <f>SUM(Sayfa1!G345:G368)</f>
        <v>0</v>
      </c>
    </row>
    <row r="369" spans="1:9" x14ac:dyDescent="0.3">
      <c r="A369">
        <v>-118.75</v>
      </c>
      <c r="B369">
        <v>34.25</v>
      </c>
      <c r="C369">
        <v>2025</v>
      </c>
      <c r="D369">
        <v>1</v>
      </c>
      <c r="E369">
        <v>16</v>
      </c>
      <c r="F369">
        <f>Sayfa1!C369-273.15</f>
        <v>16.582604980468773</v>
      </c>
      <c r="G369">
        <v>19.332986831665039</v>
      </c>
      <c r="H369">
        <f>SQRT(Sayfa1!D369^2+Sayfa1!E369^2)</f>
        <v>2.736691209216267</v>
      </c>
      <c r="I369">
        <f>SUM(Sayfa1!G346:G369)</f>
        <v>0</v>
      </c>
    </row>
    <row r="370" spans="1:9" x14ac:dyDescent="0.3">
      <c r="A370">
        <v>-118.75</v>
      </c>
      <c r="B370">
        <v>34.25</v>
      </c>
      <c r="C370">
        <v>2025</v>
      </c>
      <c r="D370">
        <v>1</v>
      </c>
      <c r="E370">
        <v>16</v>
      </c>
      <c r="F370">
        <f>Sayfa1!C370-273.15</f>
        <v>16.558984375000023</v>
      </c>
      <c r="G370">
        <v>23.88262939453125</v>
      </c>
      <c r="H370">
        <f>SQRT(Sayfa1!D370^2+Sayfa1!E370^2)</f>
        <v>2.6637967081005534</v>
      </c>
      <c r="I370">
        <f>SUM(Sayfa1!G347:G370)</f>
        <v>0</v>
      </c>
    </row>
    <row r="371" spans="1:9" x14ac:dyDescent="0.3">
      <c r="A371">
        <v>-118.75</v>
      </c>
      <c r="B371">
        <v>34.25</v>
      </c>
      <c r="C371">
        <v>2025</v>
      </c>
      <c r="D371">
        <v>1</v>
      </c>
      <c r="E371">
        <v>16</v>
      </c>
      <c r="F371">
        <f>Sayfa1!C371-273.15</f>
        <v>16.541711425781273</v>
      </c>
      <c r="G371">
        <v>27.708099365234375</v>
      </c>
      <c r="H371">
        <f>SQRT(Sayfa1!D371^2+Sayfa1!E371^2)</f>
        <v>2.6106479983441777</v>
      </c>
      <c r="I371">
        <f>SUM(Sayfa1!G348:G371)</f>
        <v>0</v>
      </c>
    </row>
    <row r="372" spans="1:9" x14ac:dyDescent="0.3">
      <c r="A372">
        <v>-118.75</v>
      </c>
      <c r="B372">
        <v>34.25</v>
      </c>
      <c r="C372">
        <v>2025</v>
      </c>
      <c r="D372">
        <v>1</v>
      </c>
      <c r="E372">
        <v>16</v>
      </c>
      <c r="F372">
        <f>Sayfa1!C372-273.15</f>
        <v>16.198388671875023</v>
      </c>
      <c r="G372">
        <v>29.256488800048828</v>
      </c>
      <c r="H372">
        <f>SQRT(Sayfa1!D372^2+Sayfa1!E372^2)</f>
        <v>2.5737809843158526</v>
      </c>
      <c r="I372">
        <f>SUM(Sayfa1!G349:G372)</f>
        <v>0</v>
      </c>
    </row>
    <row r="373" spans="1:9" x14ac:dyDescent="0.3">
      <c r="A373">
        <v>-118.75</v>
      </c>
      <c r="B373">
        <v>34.25</v>
      </c>
      <c r="C373">
        <v>2025</v>
      </c>
      <c r="D373">
        <v>1</v>
      </c>
      <c r="E373">
        <v>16</v>
      </c>
      <c r="F373">
        <f>Sayfa1!C373-273.15</f>
        <v>16.265161132812523</v>
      </c>
      <c r="G373">
        <v>30.883823394775391</v>
      </c>
      <c r="H373">
        <f>SQRT(Sayfa1!D373^2+Sayfa1!E373^2)</f>
        <v>2.5260577862100706</v>
      </c>
      <c r="I373">
        <f>SUM(Sayfa1!G350:G373)</f>
        <v>0</v>
      </c>
    </row>
    <row r="374" spans="1:9" x14ac:dyDescent="0.3">
      <c r="A374">
        <v>-118.75</v>
      </c>
      <c r="B374">
        <v>34.25</v>
      </c>
      <c r="C374">
        <v>2025</v>
      </c>
      <c r="D374">
        <v>1</v>
      </c>
      <c r="E374">
        <v>16</v>
      </c>
      <c r="F374">
        <f>Sayfa1!C374-273.15</f>
        <v>16.361657714843773</v>
      </c>
      <c r="G374">
        <v>32.430412292480469</v>
      </c>
      <c r="H374">
        <f>SQRT(Sayfa1!D374^2+Sayfa1!E374^2)</f>
        <v>2.4581774229487898</v>
      </c>
      <c r="I374">
        <f>SUM(Sayfa1!G351:G374)</f>
        <v>0</v>
      </c>
    </row>
    <row r="375" spans="1:9" x14ac:dyDescent="0.3">
      <c r="A375">
        <v>-118.75</v>
      </c>
      <c r="B375">
        <v>34.25</v>
      </c>
      <c r="C375">
        <v>2025</v>
      </c>
      <c r="D375">
        <v>1</v>
      </c>
      <c r="E375">
        <v>16</v>
      </c>
      <c r="F375">
        <f>Sayfa1!C375-273.15</f>
        <v>16.350000000000023</v>
      </c>
      <c r="G375">
        <v>34.151634216308594</v>
      </c>
      <c r="H375">
        <f>SQRT(Sayfa1!D375^2+Sayfa1!E375^2)</f>
        <v>2.4850207785048535</v>
      </c>
      <c r="I375">
        <f>SUM(Sayfa1!G352:G375)</f>
        <v>0</v>
      </c>
    </row>
    <row r="376" spans="1:9" x14ac:dyDescent="0.3">
      <c r="A376">
        <v>-118.75</v>
      </c>
      <c r="B376">
        <v>34.25</v>
      </c>
      <c r="C376">
        <v>2025</v>
      </c>
      <c r="D376">
        <v>1</v>
      </c>
      <c r="E376">
        <v>16</v>
      </c>
      <c r="F376">
        <f>Sayfa1!C376-273.15</f>
        <v>16.224145507812523</v>
      </c>
      <c r="G376">
        <v>35.672679901123047</v>
      </c>
      <c r="H376">
        <f>SQRT(Sayfa1!D376^2+Sayfa1!E376^2)</f>
        <v>2.5748504913491286</v>
      </c>
      <c r="I376">
        <f>SUM(Sayfa1!G353:G376)</f>
        <v>0</v>
      </c>
    </row>
    <row r="377" spans="1:9" x14ac:dyDescent="0.3">
      <c r="A377">
        <v>-118.75</v>
      </c>
      <c r="B377">
        <v>34.25</v>
      </c>
      <c r="C377">
        <v>2025</v>
      </c>
      <c r="D377">
        <v>1</v>
      </c>
      <c r="E377">
        <v>16</v>
      </c>
      <c r="F377">
        <f>Sayfa1!C377-273.15</f>
        <v>16.074182128906273</v>
      </c>
      <c r="G377">
        <v>36.908176422119141</v>
      </c>
      <c r="H377">
        <f>SQRT(Sayfa1!D377^2+Sayfa1!E377^2)</f>
        <v>2.6285677989744047</v>
      </c>
      <c r="I377">
        <f>SUM(Sayfa1!G354:G377)</f>
        <v>0</v>
      </c>
    </row>
    <row r="378" spans="1:9" x14ac:dyDescent="0.3">
      <c r="A378">
        <v>-118.75</v>
      </c>
      <c r="B378">
        <v>34.25</v>
      </c>
      <c r="C378">
        <v>2025</v>
      </c>
      <c r="D378">
        <v>1</v>
      </c>
      <c r="E378">
        <v>16</v>
      </c>
      <c r="F378">
        <f>Sayfa1!C378-273.15</f>
        <v>16.022851562500023</v>
      </c>
      <c r="G378">
        <v>35.64788818359375</v>
      </c>
      <c r="H378">
        <f>SQRT(Sayfa1!D378^2+Sayfa1!E378^2)</f>
        <v>2.3663829004175385</v>
      </c>
      <c r="I378">
        <f>SUM(Sayfa1!G355:G378)</f>
        <v>0</v>
      </c>
    </row>
    <row r="379" spans="1:9" x14ac:dyDescent="0.3">
      <c r="A379">
        <v>-118.75</v>
      </c>
      <c r="B379">
        <v>34.25</v>
      </c>
      <c r="C379">
        <v>2025</v>
      </c>
      <c r="D379">
        <v>1</v>
      </c>
      <c r="E379">
        <v>16</v>
      </c>
      <c r="F379">
        <f>Sayfa1!C379-273.15</f>
        <v>16.010583496093773</v>
      </c>
      <c r="G379">
        <v>31.907522201538086</v>
      </c>
      <c r="H379">
        <f>SQRT(Sayfa1!D379^2+Sayfa1!E379^2)</f>
        <v>1.8678918634340804</v>
      </c>
      <c r="I379">
        <f>SUM(Sayfa1!G356:G379)</f>
        <v>0</v>
      </c>
    </row>
    <row r="380" spans="1:9" x14ac:dyDescent="0.3">
      <c r="A380">
        <v>-118.75</v>
      </c>
      <c r="B380">
        <v>34.25</v>
      </c>
      <c r="C380">
        <v>2025</v>
      </c>
      <c r="D380">
        <v>1</v>
      </c>
      <c r="E380">
        <v>16</v>
      </c>
      <c r="F380">
        <f>Sayfa1!C380-273.15</f>
        <v>16.203302001953148</v>
      </c>
      <c r="G380">
        <v>22.553001403808594</v>
      </c>
      <c r="H380">
        <f>SQRT(Sayfa1!D380^2+Sayfa1!E380^2)</f>
        <v>1.5740755250595704</v>
      </c>
      <c r="I380">
        <f>SUM(Sayfa1!G357:G380)</f>
        <v>0</v>
      </c>
    </row>
    <row r="381" spans="1:9" x14ac:dyDescent="0.3">
      <c r="A381">
        <v>-118.75</v>
      </c>
      <c r="B381">
        <v>34.25</v>
      </c>
      <c r="C381">
        <v>2025</v>
      </c>
      <c r="D381">
        <v>1</v>
      </c>
      <c r="E381">
        <v>16</v>
      </c>
      <c r="F381">
        <f>Sayfa1!C381-273.15</f>
        <v>17.645654296875023</v>
      </c>
      <c r="G381">
        <v>16.069120407104492</v>
      </c>
      <c r="H381">
        <f>SQRT(Sayfa1!D381^2+Sayfa1!E381^2)</f>
        <v>1.5167007010125186</v>
      </c>
      <c r="I381">
        <f>SUM(Sayfa1!G358:G381)</f>
        <v>0</v>
      </c>
    </row>
    <row r="382" spans="1:9" x14ac:dyDescent="0.3">
      <c r="A382">
        <v>-118.75</v>
      </c>
      <c r="B382">
        <v>34.25</v>
      </c>
      <c r="C382">
        <v>2025</v>
      </c>
      <c r="D382">
        <v>1</v>
      </c>
      <c r="E382">
        <v>16</v>
      </c>
      <c r="F382">
        <f>Sayfa1!C382-273.15</f>
        <v>18.519250488281273</v>
      </c>
      <c r="G382">
        <v>14.231990814208984</v>
      </c>
      <c r="H382">
        <f>SQRT(Sayfa1!D382^2+Sayfa1!E382^2)</f>
        <v>0.96344287160162589</v>
      </c>
      <c r="I382">
        <f>SUM(Sayfa1!G359:G382)</f>
        <v>0</v>
      </c>
    </row>
    <row r="383" spans="1:9" x14ac:dyDescent="0.3">
      <c r="A383">
        <v>-118.75</v>
      </c>
      <c r="B383">
        <v>34.25</v>
      </c>
      <c r="C383">
        <v>2025</v>
      </c>
      <c r="D383">
        <v>1</v>
      </c>
      <c r="E383">
        <v>16</v>
      </c>
      <c r="F383">
        <f>Sayfa1!C383-273.15</f>
        <v>18.829614257812523</v>
      </c>
      <c r="G383">
        <v>14.80333137512207</v>
      </c>
      <c r="H383">
        <f>SQRT(Sayfa1!D383^2+Sayfa1!E383^2)</f>
        <v>0.97110007517347485</v>
      </c>
      <c r="I383">
        <f>SUM(Sayfa1!G360:G383)</f>
        <v>0</v>
      </c>
    </row>
    <row r="384" spans="1:9" x14ac:dyDescent="0.3">
      <c r="A384">
        <v>-118.75</v>
      </c>
      <c r="B384">
        <v>34.25</v>
      </c>
      <c r="C384">
        <v>2025</v>
      </c>
      <c r="D384">
        <v>1</v>
      </c>
      <c r="E384">
        <v>16</v>
      </c>
      <c r="F384">
        <f>Sayfa1!C384-273.15</f>
        <v>17.956689453125023</v>
      </c>
      <c r="G384">
        <v>20.082098007202148</v>
      </c>
      <c r="H384">
        <f>SQRT(Sayfa1!D384^2+Sayfa1!E384^2)</f>
        <v>2.2951113541481645</v>
      </c>
      <c r="I384">
        <f>SUM(Sayfa1!G361:G384)</f>
        <v>0</v>
      </c>
    </row>
    <row r="385" spans="1:9" x14ac:dyDescent="0.3">
      <c r="A385">
        <v>-118.75</v>
      </c>
      <c r="B385">
        <v>34.25</v>
      </c>
      <c r="C385">
        <v>2025</v>
      </c>
      <c r="D385">
        <v>1</v>
      </c>
      <c r="E385">
        <v>16</v>
      </c>
      <c r="F385">
        <f>Sayfa1!C385-273.15</f>
        <v>17.251123046875023</v>
      </c>
      <c r="G385">
        <v>26.363780975341797</v>
      </c>
      <c r="H385">
        <f>SQRT(Sayfa1!D385^2+Sayfa1!E385^2)</f>
        <v>2.6431462603802984</v>
      </c>
      <c r="I385">
        <f>SUM(Sayfa1!G362:G385)</f>
        <v>0</v>
      </c>
    </row>
    <row r="386" spans="1:9" x14ac:dyDescent="0.3">
      <c r="A386">
        <v>-118.75</v>
      </c>
      <c r="B386">
        <v>34.25</v>
      </c>
      <c r="C386">
        <v>2025</v>
      </c>
      <c r="D386">
        <v>1</v>
      </c>
      <c r="E386">
        <v>17</v>
      </c>
      <c r="F386">
        <f>Sayfa1!C386-273.15</f>
        <v>16.314477539062523</v>
      </c>
      <c r="G386">
        <v>34.53399658203125</v>
      </c>
      <c r="H386">
        <f>SQRT(Sayfa1!D386^2+Sayfa1!E386^2)</f>
        <v>2.5408958665047838</v>
      </c>
      <c r="I386">
        <f>SUM(Sayfa1!G363:G386)</f>
        <v>0</v>
      </c>
    </row>
    <row r="387" spans="1:9" x14ac:dyDescent="0.3">
      <c r="A387">
        <v>-118.75</v>
      </c>
      <c r="B387">
        <v>34.25</v>
      </c>
      <c r="C387">
        <v>2025</v>
      </c>
      <c r="D387">
        <v>1</v>
      </c>
      <c r="E387">
        <v>17</v>
      </c>
      <c r="F387">
        <f>Sayfa1!C387-273.15</f>
        <v>15.131982421875023</v>
      </c>
      <c r="G387">
        <v>45.363555908203125</v>
      </c>
      <c r="H387">
        <f>SQRT(Sayfa1!D387^2+Sayfa1!E387^2)</f>
        <v>1.8814771684620579</v>
      </c>
      <c r="I387">
        <f>SUM(Sayfa1!G364:G387)</f>
        <v>0</v>
      </c>
    </row>
    <row r="388" spans="1:9" x14ac:dyDescent="0.3">
      <c r="A388">
        <v>-118.75</v>
      </c>
      <c r="B388">
        <v>34.25</v>
      </c>
      <c r="C388">
        <v>2025</v>
      </c>
      <c r="D388">
        <v>1</v>
      </c>
      <c r="E388">
        <v>17</v>
      </c>
      <c r="F388">
        <f>Sayfa1!C388-273.15</f>
        <v>14.391198730468773</v>
      </c>
      <c r="G388">
        <v>55.139556884765625</v>
      </c>
      <c r="H388">
        <f>SQRT(Sayfa1!D388^2+Sayfa1!E388^2)</f>
        <v>1.5650903254515531</v>
      </c>
      <c r="I388">
        <f>SUM(Sayfa1!G365:G388)</f>
        <v>0</v>
      </c>
    </row>
    <row r="389" spans="1:9" x14ac:dyDescent="0.3">
      <c r="A389">
        <v>-118.75</v>
      </c>
      <c r="B389">
        <v>34.25</v>
      </c>
      <c r="C389">
        <v>2025</v>
      </c>
      <c r="D389">
        <v>1</v>
      </c>
      <c r="E389">
        <v>17</v>
      </c>
      <c r="F389">
        <f>Sayfa1!C389-273.15</f>
        <v>13.926354980468773</v>
      </c>
      <c r="G389">
        <v>62.089187622070313</v>
      </c>
      <c r="H389">
        <f>SQRT(Sayfa1!D389^2+Sayfa1!E389^2)</f>
        <v>1.1598057676059228</v>
      </c>
      <c r="I389">
        <f>SUM(Sayfa1!G366:G389)</f>
        <v>0</v>
      </c>
    </row>
    <row r="390" spans="1:9" x14ac:dyDescent="0.3">
      <c r="A390">
        <v>-118.75</v>
      </c>
      <c r="B390">
        <v>34.25</v>
      </c>
      <c r="C390">
        <v>2025</v>
      </c>
      <c r="D390">
        <v>1</v>
      </c>
      <c r="E390">
        <v>17</v>
      </c>
      <c r="F390">
        <f>Sayfa1!C390-273.15</f>
        <v>13.319604492187523</v>
      </c>
      <c r="G390">
        <v>66.959136962890625</v>
      </c>
      <c r="H390">
        <f>SQRT(Sayfa1!D390^2+Sayfa1!E390^2)</f>
        <v>0.84416656909374477</v>
      </c>
      <c r="I390">
        <f>SUM(Sayfa1!G367:G390)</f>
        <v>0</v>
      </c>
    </row>
    <row r="391" spans="1:9" x14ac:dyDescent="0.3">
      <c r="A391">
        <v>-118.75</v>
      </c>
      <c r="B391">
        <v>34.25</v>
      </c>
      <c r="C391">
        <v>2025</v>
      </c>
      <c r="D391">
        <v>1</v>
      </c>
      <c r="E391">
        <v>17</v>
      </c>
      <c r="F391">
        <f>Sayfa1!C391-273.15</f>
        <v>12.658166503906273</v>
      </c>
      <c r="G391">
        <v>69.442352294921875</v>
      </c>
      <c r="H391">
        <f>SQRT(Sayfa1!D391^2+Sayfa1!E391^2)</f>
        <v>0.93834002096451863</v>
      </c>
      <c r="I391">
        <f>SUM(Sayfa1!G368:G391)</f>
        <v>0</v>
      </c>
    </row>
    <row r="392" spans="1:9" x14ac:dyDescent="0.3">
      <c r="A392">
        <v>-118.75</v>
      </c>
      <c r="B392">
        <v>34.25</v>
      </c>
      <c r="C392">
        <v>2025</v>
      </c>
      <c r="D392">
        <v>1</v>
      </c>
      <c r="E392">
        <v>17</v>
      </c>
      <c r="F392">
        <f>Sayfa1!C392-273.15</f>
        <v>12.048791503906273</v>
      </c>
      <c r="G392">
        <v>71.180679321289063</v>
      </c>
      <c r="H392">
        <f>SQRT(Sayfa1!D392^2+Sayfa1!E392^2)</f>
        <v>1.0735862778449896</v>
      </c>
      <c r="I392">
        <f>SUM(Sayfa1!G369:G392)</f>
        <v>0</v>
      </c>
    </row>
    <row r="393" spans="1:9" x14ac:dyDescent="0.3">
      <c r="A393">
        <v>-118.75</v>
      </c>
      <c r="B393">
        <v>34.25</v>
      </c>
      <c r="C393">
        <v>2025</v>
      </c>
      <c r="D393">
        <v>1</v>
      </c>
      <c r="E393">
        <v>17</v>
      </c>
      <c r="F393">
        <f>Sayfa1!C393-273.15</f>
        <v>11.556665039062523</v>
      </c>
      <c r="G393">
        <v>73.2462158203125</v>
      </c>
      <c r="H393">
        <f>SQRT(Sayfa1!D393^2+Sayfa1!E393^2)</f>
        <v>1.0587836070897434</v>
      </c>
      <c r="I393">
        <f>SUM(Sayfa1!G370:G393)</f>
        <v>0</v>
      </c>
    </row>
    <row r="394" spans="1:9" x14ac:dyDescent="0.3">
      <c r="A394">
        <v>-118.75</v>
      </c>
      <c r="B394">
        <v>34.25</v>
      </c>
      <c r="C394">
        <v>2025</v>
      </c>
      <c r="D394">
        <v>1</v>
      </c>
      <c r="E394">
        <v>17</v>
      </c>
      <c r="F394">
        <f>Sayfa1!C394-273.15</f>
        <v>11.090051269531273</v>
      </c>
      <c r="G394">
        <v>74.932998657226563</v>
      </c>
      <c r="H394">
        <f>SQRT(Sayfa1!D394^2+Sayfa1!E394^2)</f>
        <v>0.8457517989822334</v>
      </c>
      <c r="I394">
        <f>SUM(Sayfa1!G371:G394)</f>
        <v>0</v>
      </c>
    </row>
    <row r="395" spans="1:9" x14ac:dyDescent="0.3">
      <c r="A395">
        <v>-118.75</v>
      </c>
      <c r="B395">
        <v>34.25</v>
      </c>
      <c r="C395">
        <v>2025</v>
      </c>
      <c r="D395">
        <v>1</v>
      </c>
      <c r="E395">
        <v>17</v>
      </c>
      <c r="F395">
        <f>Sayfa1!C395-273.15</f>
        <v>10.715112304687523</v>
      </c>
      <c r="G395">
        <v>75.643341064453125</v>
      </c>
      <c r="H395">
        <f>SQRT(Sayfa1!D395^2+Sayfa1!E395^2)</f>
        <v>0.87440914468892628</v>
      </c>
      <c r="I395">
        <f>SUM(Sayfa1!G372:G395)</f>
        <v>0</v>
      </c>
    </row>
    <row r="396" spans="1:9" x14ac:dyDescent="0.3">
      <c r="A396">
        <v>-118.75</v>
      </c>
      <c r="B396">
        <v>34.25</v>
      </c>
      <c r="C396">
        <v>2025</v>
      </c>
      <c r="D396">
        <v>1</v>
      </c>
      <c r="E396">
        <v>17</v>
      </c>
      <c r="F396">
        <f>Sayfa1!C396-273.15</f>
        <v>10.159509277343773</v>
      </c>
      <c r="G396">
        <v>79.734130859375</v>
      </c>
      <c r="H396">
        <f>SQRT(Sayfa1!D396^2+Sayfa1!E396^2)</f>
        <v>1.0148506432331093</v>
      </c>
      <c r="I396">
        <f>SUM(Sayfa1!G373:G396)</f>
        <v>0</v>
      </c>
    </row>
    <row r="397" spans="1:9" x14ac:dyDescent="0.3">
      <c r="A397">
        <v>-118.75</v>
      </c>
      <c r="B397">
        <v>34.25</v>
      </c>
      <c r="C397">
        <v>2025</v>
      </c>
      <c r="D397">
        <v>1</v>
      </c>
      <c r="E397">
        <v>17</v>
      </c>
      <c r="F397">
        <f>Sayfa1!C397-273.15</f>
        <v>10.066064453125023</v>
      </c>
      <c r="G397">
        <v>78.412109375</v>
      </c>
      <c r="H397">
        <f>SQRT(Sayfa1!D397^2+Sayfa1!E397^2)</f>
        <v>0.97683223063007796</v>
      </c>
      <c r="I397">
        <f>SUM(Sayfa1!G374:G397)</f>
        <v>0</v>
      </c>
    </row>
    <row r="398" spans="1:9" x14ac:dyDescent="0.3">
      <c r="A398">
        <v>-118.75</v>
      </c>
      <c r="B398">
        <v>34.25</v>
      </c>
      <c r="C398">
        <v>2025</v>
      </c>
      <c r="D398">
        <v>1</v>
      </c>
      <c r="E398">
        <v>17</v>
      </c>
      <c r="F398">
        <f>Sayfa1!C398-273.15</f>
        <v>9.9125610351562727</v>
      </c>
      <c r="G398">
        <v>77.50067138671875</v>
      </c>
      <c r="H398">
        <f>SQRT(Sayfa1!D398^2+Sayfa1!E398^2)</f>
        <v>0.75444580508798509</v>
      </c>
      <c r="I398">
        <f>SUM(Sayfa1!G375:G398)</f>
        <v>0</v>
      </c>
    </row>
    <row r="399" spans="1:9" x14ac:dyDescent="0.3">
      <c r="A399">
        <v>-118.75</v>
      </c>
      <c r="B399">
        <v>34.25</v>
      </c>
      <c r="C399">
        <v>2025</v>
      </c>
      <c r="D399">
        <v>1</v>
      </c>
      <c r="E399">
        <v>17</v>
      </c>
      <c r="F399">
        <f>Sayfa1!C399-273.15</f>
        <v>9.6044555664062727</v>
      </c>
      <c r="G399">
        <v>77.526046752929688</v>
      </c>
      <c r="H399">
        <f>SQRT(Sayfa1!D399^2+Sayfa1!E399^2)</f>
        <v>1.0134794848762556</v>
      </c>
      <c r="I399">
        <f>SUM(Sayfa1!G376:G399)</f>
        <v>0</v>
      </c>
    </row>
    <row r="400" spans="1:9" x14ac:dyDescent="0.3">
      <c r="A400">
        <v>-118.75</v>
      </c>
      <c r="B400">
        <v>34.25</v>
      </c>
      <c r="C400">
        <v>2025</v>
      </c>
      <c r="D400">
        <v>1</v>
      </c>
      <c r="E400">
        <v>17</v>
      </c>
      <c r="F400">
        <f>Sayfa1!C400-273.15</f>
        <v>9.4073730468750227</v>
      </c>
      <c r="G400">
        <v>77.59893798828125</v>
      </c>
      <c r="H400">
        <f>SQRT(Sayfa1!D400^2+Sayfa1!E400^2)</f>
        <v>1.0584672239920525</v>
      </c>
      <c r="I400">
        <f>SUM(Sayfa1!G377:G400)</f>
        <v>0</v>
      </c>
    </row>
    <row r="401" spans="1:9" x14ac:dyDescent="0.3">
      <c r="A401">
        <v>-118.75</v>
      </c>
      <c r="B401">
        <v>34.25</v>
      </c>
      <c r="C401">
        <v>2025</v>
      </c>
      <c r="D401">
        <v>1</v>
      </c>
      <c r="E401">
        <v>17</v>
      </c>
      <c r="F401">
        <f>Sayfa1!C401-273.15</f>
        <v>9.3575073242187727</v>
      </c>
      <c r="G401">
        <v>76.82275390625</v>
      </c>
      <c r="H401">
        <f>SQRT(Sayfa1!D401^2+Sayfa1!E401^2)</f>
        <v>1.0024316549639789</v>
      </c>
      <c r="I401">
        <f>SUM(Sayfa1!G378:G401)</f>
        <v>0</v>
      </c>
    </row>
    <row r="402" spans="1:9" x14ac:dyDescent="0.3">
      <c r="A402">
        <v>-118.75</v>
      </c>
      <c r="B402">
        <v>34.25</v>
      </c>
      <c r="C402">
        <v>2025</v>
      </c>
      <c r="D402">
        <v>1</v>
      </c>
      <c r="E402">
        <v>17</v>
      </c>
      <c r="F402">
        <f>Sayfa1!C402-273.15</f>
        <v>9.3570800781250227</v>
      </c>
      <c r="G402">
        <v>74.20947265625</v>
      </c>
      <c r="H402">
        <f>SQRT(Sayfa1!D402^2+Sayfa1!E402^2)</f>
        <v>0.82727328397530742</v>
      </c>
      <c r="I402">
        <f>SUM(Sayfa1!G379:G402)</f>
        <v>4.76837158203125E-4</v>
      </c>
    </row>
    <row r="403" spans="1:9" x14ac:dyDescent="0.3">
      <c r="A403">
        <v>-118.75</v>
      </c>
      <c r="B403">
        <v>34.25</v>
      </c>
      <c r="C403">
        <v>2025</v>
      </c>
      <c r="D403">
        <v>1</v>
      </c>
      <c r="E403">
        <v>17</v>
      </c>
      <c r="F403">
        <f>Sayfa1!C403-273.15</f>
        <v>9.5503784179687727</v>
      </c>
      <c r="G403">
        <v>69.760284423828125</v>
      </c>
      <c r="H403">
        <f>SQRT(Sayfa1!D403^2+Sayfa1!E403^2)</f>
        <v>1.2800563794475452</v>
      </c>
      <c r="I403">
        <f>SUM(Sayfa1!G380:G403)</f>
        <v>1.9073486328125E-3</v>
      </c>
    </row>
    <row r="404" spans="1:9" x14ac:dyDescent="0.3">
      <c r="A404">
        <v>-118.75</v>
      </c>
      <c r="B404">
        <v>34.25</v>
      </c>
      <c r="C404">
        <v>2025</v>
      </c>
      <c r="D404">
        <v>1</v>
      </c>
      <c r="E404">
        <v>17</v>
      </c>
      <c r="F404">
        <f>Sayfa1!C404-273.15</f>
        <v>10.748376464843773</v>
      </c>
      <c r="G404">
        <v>67.339370727539063</v>
      </c>
      <c r="H404">
        <f>SQRT(Sayfa1!D404^2+Sayfa1!E404^2)</f>
        <v>1.519514501538805</v>
      </c>
      <c r="I404">
        <f>SUM(Sayfa1!G381:G404)</f>
        <v>1.9073486328125E-3</v>
      </c>
    </row>
    <row r="405" spans="1:9" x14ac:dyDescent="0.3">
      <c r="A405">
        <v>-118.75</v>
      </c>
      <c r="B405">
        <v>34.25</v>
      </c>
      <c r="C405">
        <v>2025</v>
      </c>
      <c r="D405">
        <v>1</v>
      </c>
      <c r="E405">
        <v>17</v>
      </c>
      <c r="F405">
        <f>Sayfa1!C405-273.15</f>
        <v>11.781213378906273</v>
      </c>
      <c r="G405">
        <v>61.796035766601563</v>
      </c>
      <c r="H405">
        <f>SQRT(Sayfa1!D405^2+Sayfa1!E405^2)</f>
        <v>1.9043146285427703</v>
      </c>
      <c r="I405">
        <f>SUM(Sayfa1!G382:G405)</f>
        <v>1.9073486328125E-3</v>
      </c>
    </row>
    <row r="406" spans="1:9" x14ac:dyDescent="0.3">
      <c r="A406">
        <v>-118.75</v>
      </c>
      <c r="B406">
        <v>34.25</v>
      </c>
      <c r="C406">
        <v>2025</v>
      </c>
      <c r="D406">
        <v>1</v>
      </c>
      <c r="E406">
        <v>17</v>
      </c>
      <c r="F406">
        <f>Sayfa1!C406-273.15</f>
        <v>12.617211914062523</v>
      </c>
      <c r="G406">
        <v>58.857513427734375</v>
      </c>
      <c r="H406">
        <f>SQRT(Sayfa1!D406^2+Sayfa1!E406^2)</f>
        <v>2.4431021724708941</v>
      </c>
      <c r="I406">
        <f>SUM(Sayfa1!G383:G406)</f>
        <v>1.9073486328125E-3</v>
      </c>
    </row>
    <row r="407" spans="1:9" x14ac:dyDescent="0.3">
      <c r="A407">
        <v>-118.75</v>
      </c>
      <c r="B407">
        <v>34.25</v>
      </c>
      <c r="C407">
        <v>2025</v>
      </c>
      <c r="D407">
        <v>1</v>
      </c>
      <c r="E407">
        <v>17</v>
      </c>
      <c r="F407">
        <f>Sayfa1!C407-273.15</f>
        <v>13.309716796875023</v>
      </c>
      <c r="G407">
        <v>57.557861328125</v>
      </c>
      <c r="H407">
        <f>SQRT(Sayfa1!D407^2+Sayfa1!E407^2)</f>
        <v>2.8830319013962771</v>
      </c>
      <c r="I407">
        <f>SUM(Sayfa1!G384:G407)</f>
        <v>1.9073486328125E-3</v>
      </c>
    </row>
    <row r="408" spans="1:9" x14ac:dyDescent="0.3">
      <c r="A408">
        <v>-118.75</v>
      </c>
      <c r="B408">
        <v>34.25</v>
      </c>
      <c r="C408">
        <v>2025</v>
      </c>
      <c r="D408">
        <v>1</v>
      </c>
      <c r="E408">
        <v>17</v>
      </c>
      <c r="F408">
        <f>Sayfa1!C408-273.15</f>
        <v>13.471948242187523</v>
      </c>
      <c r="G408">
        <v>56.922927856445313</v>
      </c>
      <c r="H408">
        <f>SQRT(Sayfa1!D408^2+Sayfa1!E408^2)</f>
        <v>1.5999377948276157</v>
      </c>
      <c r="I408">
        <f>SUM(Sayfa1!G385:G408)</f>
        <v>1.9073486328125E-3</v>
      </c>
    </row>
    <row r="409" spans="1:9" x14ac:dyDescent="0.3">
      <c r="A409">
        <v>-118.75</v>
      </c>
      <c r="B409">
        <v>34.25</v>
      </c>
      <c r="C409">
        <v>2025</v>
      </c>
      <c r="D409">
        <v>1</v>
      </c>
      <c r="E409">
        <v>17</v>
      </c>
      <c r="F409">
        <f>Sayfa1!C409-273.15</f>
        <v>13.986962890625023</v>
      </c>
      <c r="G409">
        <v>56.400283813476563</v>
      </c>
      <c r="H409">
        <f>SQRT(Sayfa1!D409^2+Sayfa1!E409^2)</f>
        <v>2.1496617446601629</v>
      </c>
      <c r="I409">
        <f>SUM(Sayfa1!G386:G409)</f>
        <v>1.9073486328125E-3</v>
      </c>
    </row>
    <row r="410" spans="1:9" x14ac:dyDescent="0.3">
      <c r="A410">
        <v>-118.75</v>
      </c>
      <c r="B410">
        <v>34.25</v>
      </c>
      <c r="C410">
        <v>2025</v>
      </c>
      <c r="D410">
        <v>1</v>
      </c>
      <c r="E410">
        <v>18</v>
      </c>
      <c r="F410">
        <f>Sayfa1!C410-273.15</f>
        <v>13.513940429687523</v>
      </c>
      <c r="G410">
        <v>63.56573486328125</v>
      </c>
      <c r="H410">
        <f>SQRT(Sayfa1!D410^2+Sayfa1!E410^2)</f>
        <v>2.2831697107689428</v>
      </c>
      <c r="I410">
        <f>SUM(Sayfa1!G387:G410)</f>
        <v>1.9073486328125E-3</v>
      </c>
    </row>
    <row r="411" spans="1:9" x14ac:dyDescent="0.3">
      <c r="A411">
        <v>-118.75</v>
      </c>
      <c r="B411">
        <v>34.25</v>
      </c>
      <c r="C411">
        <v>2025</v>
      </c>
      <c r="D411">
        <v>1</v>
      </c>
      <c r="E411">
        <v>18</v>
      </c>
      <c r="F411">
        <f>Sayfa1!C411-273.15</f>
        <v>12.583154296875023</v>
      </c>
      <c r="G411">
        <v>74.2872314453125</v>
      </c>
      <c r="H411">
        <f>SQRT(Sayfa1!D411^2+Sayfa1!E411^2)</f>
        <v>1.6627371933228772</v>
      </c>
      <c r="I411">
        <f>SUM(Sayfa1!G388:G411)</f>
        <v>1.9073486328125E-3</v>
      </c>
    </row>
    <row r="412" spans="1:9" x14ac:dyDescent="0.3">
      <c r="A412">
        <v>-118.75</v>
      </c>
      <c r="B412">
        <v>34.25</v>
      </c>
      <c r="C412">
        <v>2025</v>
      </c>
      <c r="D412">
        <v>1</v>
      </c>
      <c r="E412">
        <v>18</v>
      </c>
      <c r="F412">
        <f>Sayfa1!C412-273.15</f>
        <v>11.755395507812523</v>
      </c>
      <c r="G412">
        <v>84.182464599609375</v>
      </c>
      <c r="H412">
        <f>SQRT(Sayfa1!D412^2+Sayfa1!E412^2)</f>
        <v>1.4473710018539134</v>
      </c>
      <c r="I412">
        <f>SUM(Sayfa1!G389:G412)</f>
        <v>1.9073486328125E-3</v>
      </c>
    </row>
    <row r="413" spans="1:9" x14ac:dyDescent="0.3">
      <c r="A413">
        <v>-118.75</v>
      </c>
      <c r="B413">
        <v>34.25</v>
      </c>
      <c r="C413">
        <v>2025</v>
      </c>
      <c r="D413">
        <v>1</v>
      </c>
      <c r="E413">
        <v>18</v>
      </c>
      <c r="F413">
        <f>Sayfa1!C413-273.15</f>
        <v>11.250817871093773</v>
      </c>
      <c r="G413">
        <v>90.457992553710938</v>
      </c>
      <c r="H413">
        <f>SQRT(Sayfa1!D413^2+Sayfa1!E413^2)</f>
        <v>0.9475773722348575</v>
      </c>
      <c r="I413">
        <f>SUM(Sayfa1!G390:G413)</f>
        <v>1.9073486328125E-3</v>
      </c>
    </row>
    <row r="414" spans="1:9" x14ac:dyDescent="0.3">
      <c r="A414">
        <v>-118.75</v>
      </c>
      <c r="B414">
        <v>34.25</v>
      </c>
      <c r="C414">
        <v>2025</v>
      </c>
      <c r="D414">
        <v>1</v>
      </c>
      <c r="E414">
        <v>18</v>
      </c>
      <c r="F414">
        <f>Sayfa1!C414-273.15</f>
        <v>10.983728027343773</v>
      </c>
      <c r="G414">
        <v>93.759185791015625</v>
      </c>
      <c r="H414">
        <f>SQRT(Sayfa1!D414^2+Sayfa1!E414^2)</f>
        <v>0.56269826329664796</v>
      </c>
      <c r="I414">
        <f>SUM(Sayfa1!G391:G414)</f>
        <v>1.9073486328125E-3</v>
      </c>
    </row>
    <row r="415" spans="1:9" x14ac:dyDescent="0.3">
      <c r="A415">
        <v>-118.75</v>
      </c>
      <c r="B415">
        <v>34.25</v>
      </c>
      <c r="C415">
        <v>2025</v>
      </c>
      <c r="D415">
        <v>1</v>
      </c>
      <c r="E415">
        <v>18</v>
      </c>
      <c r="F415">
        <f>Sayfa1!C415-273.15</f>
        <v>10.850000000000023</v>
      </c>
      <c r="G415">
        <v>94.845413208007813</v>
      </c>
      <c r="H415">
        <f>SQRT(Sayfa1!D415^2+Sayfa1!E415^2)</f>
        <v>0.58439066338871115</v>
      </c>
      <c r="I415">
        <f>SUM(Sayfa1!G392:G415)</f>
        <v>1.9073486328125E-3</v>
      </c>
    </row>
    <row r="416" spans="1:9" x14ac:dyDescent="0.3">
      <c r="A416">
        <v>-118.75</v>
      </c>
      <c r="B416">
        <v>34.25</v>
      </c>
      <c r="C416">
        <v>2025</v>
      </c>
      <c r="D416">
        <v>1</v>
      </c>
      <c r="E416">
        <v>18</v>
      </c>
      <c r="F416">
        <f>Sayfa1!C416-273.15</f>
        <v>10.702111816406273</v>
      </c>
      <c r="G416">
        <v>93.094024658203125</v>
      </c>
      <c r="H416">
        <f>SQRT(Sayfa1!D416^2+Sayfa1!E416^2)</f>
        <v>0.59019551007983728</v>
      </c>
      <c r="I416">
        <f>SUM(Sayfa1!G393:G416)</f>
        <v>1.9073486328125E-3</v>
      </c>
    </row>
    <row r="417" spans="1:9" x14ac:dyDescent="0.3">
      <c r="A417">
        <v>-118.75</v>
      </c>
      <c r="B417">
        <v>34.25</v>
      </c>
      <c r="C417">
        <v>2025</v>
      </c>
      <c r="D417">
        <v>1</v>
      </c>
      <c r="E417">
        <v>18</v>
      </c>
      <c r="F417">
        <f>Sayfa1!C417-273.15</f>
        <v>10.484704589843773</v>
      </c>
      <c r="G417">
        <v>91.536041259765625</v>
      </c>
      <c r="H417">
        <f>SQRT(Sayfa1!D417^2+Sayfa1!E417^2)</f>
        <v>0.63704748714098369</v>
      </c>
      <c r="I417">
        <f>SUM(Sayfa1!G394:G417)</f>
        <v>1.9073486328125E-3</v>
      </c>
    </row>
    <row r="418" spans="1:9" x14ac:dyDescent="0.3">
      <c r="A418">
        <v>-118.75</v>
      </c>
      <c r="B418">
        <v>34.25</v>
      </c>
      <c r="C418">
        <v>2025</v>
      </c>
      <c r="D418">
        <v>1</v>
      </c>
      <c r="E418">
        <v>18</v>
      </c>
      <c r="F418">
        <f>Sayfa1!C418-273.15</f>
        <v>10.260156250000023</v>
      </c>
      <c r="G418">
        <v>90.396621704101563</v>
      </c>
      <c r="H418">
        <f>SQRT(Sayfa1!D418^2+Sayfa1!E418^2)</f>
        <v>0.86734210603641004</v>
      </c>
      <c r="I418">
        <f>SUM(Sayfa1!G395:G418)</f>
        <v>1.9073486328125E-3</v>
      </c>
    </row>
    <row r="419" spans="1:9" x14ac:dyDescent="0.3">
      <c r="A419">
        <v>-118.75</v>
      </c>
      <c r="B419">
        <v>34.25</v>
      </c>
      <c r="C419">
        <v>2025</v>
      </c>
      <c r="D419">
        <v>1</v>
      </c>
      <c r="E419">
        <v>18</v>
      </c>
      <c r="F419">
        <f>Sayfa1!C419-273.15</f>
        <v>10.169030761718773</v>
      </c>
      <c r="G419">
        <v>89.276901245117188</v>
      </c>
      <c r="H419">
        <f>SQRT(Sayfa1!D419^2+Sayfa1!E419^2)</f>
        <v>1.1758395701143634</v>
      </c>
      <c r="I419">
        <f>SUM(Sayfa1!G396:G419)</f>
        <v>4.76837158203125E-3</v>
      </c>
    </row>
    <row r="420" spans="1:9" x14ac:dyDescent="0.3">
      <c r="A420">
        <v>-118.75</v>
      </c>
      <c r="B420">
        <v>34.25</v>
      </c>
      <c r="C420">
        <v>2025</v>
      </c>
      <c r="D420">
        <v>1</v>
      </c>
      <c r="E420">
        <v>18</v>
      </c>
      <c r="F420">
        <f>Sayfa1!C420-273.15</f>
        <v>9.4647460937500227</v>
      </c>
      <c r="G420">
        <v>90.488357543945313</v>
      </c>
      <c r="H420">
        <f>SQRT(Sayfa1!D420^2+Sayfa1!E420^2)</f>
        <v>2.0509886662292538</v>
      </c>
      <c r="I420">
        <f>SUM(Sayfa1!G397:G420)</f>
        <v>1.1920928955078125E-2</v>
      </c>
    </row>
    <row r="421" spans="1:9" x14ac:dyDescent="0.3">
      <c r="A421">
        <v>-118.75</v>
      </c>
      <c r="B421">
        <v>34.25</v>
      </c>
      <c r="C421">
        <v>2025</v>
      </c>
      <c r="D421">
        <v>1</v>
      </c>
      <c r="E421">
        <v>18</v>
      </c>
      <c r="F421">
        <f>Sayfa1!C421-273.15</f>
        <v>9.7694946289062727</v>
      </c>
      <c r="G421">
        <v>84.991653442382813</v>
      </c>
      <c r="H421">
        <f>SQRT(Sayfa1!D421^2+Sayfa1!E421^2)</f>
        <v>2.1069587025301058</v>
      </c>
      <c r="I421">
        <f>SUM(Sayfa1!G398:G421)</f>
        <v>1.71661376953125E-2</v>
      </c>
    </row>
    <row r="422" spans="1:9" x14ac:dyDescent="0.3">
      <c r="A422">
        <v>-118.75</v>
      </c>
      <c r="B422">
        <v>34.25</v>
      </c>
      <c r="C422">
        <v>2025</v>
      </c>
      <c r="D422">
        <v>1</v>
      </c>
      <c r="E422">
        <v>18</v>
      </c>
      <c r="F422">
        <f>Sayfa1!C422-273.15</f>
        <v>10.075341796875023</v>
      </c>
      <c r="G422">
        <v>80.046676635742188</v>
      </c>
      <c r="H422">
        <f>SQRT(Sayfa1!D422^2+Sayfa1!E422^2)</f>
        <v>2.030544571905216</v>
      </c>
      <c r="I422">
        <f>SUM(Sayfa1!G399:G422)</f>
        <v>1.7642974853515625E-2</v>
      </c>
    </row>
    <row r="423" spans="1:9" x14ac:dyDescent="0.3">
      <c r="A423">
        <v>-118.75</v>
      </c>
      <c r="B423">
        <v>34.25</v>
      </c>
      <c r="C423">
        <v>2025</v>
      </c>
      <c r="D423">
        <v>1</v>
      </c>
      <c r="E423">
        <v>18</v>
      </c>
      <c r="F423">
        <f>Sayfa1!C423-273.15</f>
        <v>10.197167968750023</v>
      </c>
      <c r="G423">
        <v>76.628768920898438</v>
      </c>
      <c r="H423">
        <f>SQRT(Sayfa1!D423^2+Sayfa1!E423^2)</f>
        <v>1.9199465522557835</v>
      </c>
      <c r="I423">
        <f>SUM(Sayfa1!G400:G423)</f>
        <v>1.811981201171875E-2</v>
      </c>
    </row>
    <row r="424" spans="1:9" x14ac:dyDescent="0.3">
      <c r="A424">
        <v>-118.75</v>
      </c>
      <c r="B424">
        <v>34.25</v>
      </c>
      <c r="C424">
        <v>2025</v>
      </c>
      <c r="D424">
        <v>1</v>
      </c>
      <c r="E424">
        <v>18</v>
      </c>
      <c r="F424">
        <f>Sayfa1!C424-273.15</f>
        <v>10.259545898437523</v>
      </c>
      <c r="G424">
        <v>74.332656860351563</v>
      </c>
      <c r="H424">
        <f>SQRT(Sayfa1!D424^2+Sayfa1!E424^2)</f>
        <v>1.8149647196785377</v>
      </c>
      <c r="I424">
        <f>SUM(Sayfa1!G401:G424)</f>
        <v>1.9073486328125E-2</v>
      </c>
    </row>
    <row r="425" spans="1:9" x14ac:dyDescent="0.3">
      <c r="A425">
        <v>-118.75</v>
      </c>
      <c r="B425">
        <v>34.25</v>
      </c>
      <c r="C425">
        <v>2025</v>
      </c>
      <c r="D425">
        <v>1</v>
      </c>
      <c r="E425">
        <v>18</v>
      </c>
      <c r="F425">
        <f>Sayfa1!C425-273.15</f>
        <v>10.305505371093773</v>
      </c>
      <c r="G425">
        <v>72.215652465820313</v>
      </c>
      <c r="H425">
        <f>SQRT(Sayfa1!D425^2+Sayfa1!E425^2)</f>
        <v>1.6879594849090813</v>
      </c>
      <c r="I425">
        <f>SUM(Sayfa1!G402:G425)</f>
        <v>2.002716064453125E-2</v>
      </c>
    </row>
    <row r="426" spans="1:9" x14ac:dyDescent="0.3">
      <c r="A426">
        <v>-118.75</v>
      </c>
      <c r="B426">
        <v>34.25</v>
      </c>
      <c r="C426">
        <v>2025</v>
      </c>
      <c r="D426">
        <v>1</v>
      </c>
      <c r="E426">
        <v>18</v>
      </c>
      <c r="F426">
        <f>Sayfa1!C426-273.15</f>
        <v>10.446557617187523</v>
      </c>
      <c r="G426">
        <v>68.72900390625</v>
      </c>
      <c r="H426">
        <f>SQRT(Sayfa1!D426^2+Sayfa1!E426^2)</f>
        <v>1.1789145950512765</v>
      </c>
      <c r="I426">
        <f>SUM(Sayfa1!G403:G426)</f>
        <v>2.0503997802734375E-2</v>
      </c>
    </row>
    <row r="427" spans="1:9" x14ac:dyDescent="0.3">
      <c r="A427">
        <v>-118.75</v>
      </c>
      <c r="B427">
        <v>34.25</v>
      </c>
      <c r="C427">
        <v>2025</v>
      </c>
      <c r="D427">
        <v>1</v>
      </c>
      <c r="E427">
        <v>18</v>
      </c>
      <c r="F427">
        <f>Sayfa1!C427-273.15</f>
        <v>10.690576171875023</v>
      </c>
      <c r="G427">
        <v>60.51605224609375</v>
      </c>
      <c r="H427">
        <f>SQRT(Sayfa1!D427^2+Sayfa1!E427^2)</f>
        <v>0.71730593050093017</v>
      </c>
      <c r="I427">
        <f>SUM(Sayfa1!G404:G427)</f>
        <v>1.9073486328125E-2</v>
      </c>
    </row>
    <row r="428" spans="1:9" x14ac:dyDescent="0.3">
      <c r="A428">
        <v>-118.75</v>
      </c>
      <c r="B428">
        <v>34.25</v>
      </c>
      <c r="C428">
        <v>2025</v>
      </c>
      <c r="D428">
        <v>1</v>
      </c>
      <c r="E428">
        <v>18</v>
      </c>
      <c r="F428">
        <f>Sayfa1!C428-273.15</f>
        <v>11.771386718750023</v>
      </c>
      <c r="G428">
        <v>53.393280029296875</v>
      </c>
      <c r="H428">
        <f>SQRT(Sayfa1!D428^2+Sayfa1!E428^2)</f>
        <v>0.83223036291480756</v>
      </c>
      <c r="I428">
        <f>SUM(Sayfa1!G405:G428)</f>
        <v>1.9073486328125E-2</v>
      </c>
    </row>
    <row r="429" spans="1:9" x14ac:dyDescent="0.3">
      <c r="A429">
        <v>-118.75</v>
      </c>
      <c r="B429">
        <v>34.25</v>
      </c>
      <c r="C429">
        <v>2025</v>
      </c>
      <c r="D429">
        <v>1</v>
      </c>
      <c r="E429">
        <v>18</v>
      </c>
      <c r="F429">
        <f>Sayfa1!C429-273.15</f>
        <v>13.395410156250023</v>
      </c>
      <c r="G429">
        <v>46.41925048828125</v>
      </c>
      <c r="H429">
        <f>SQRT(Sayfa1!D429^2+Sayfa1!E429^2)</f>
        <v>0.60481222478808916</v>
      </c>
      <c r="I429">
        <f>SUM(Sayfa1!G406:G429)</f>
        <v>1.9073486328125E-2</v>
      </c>
    </row>
    <row r="430" spans="1:9" x14ac:dyDescent="0.3">
      <c r="A430">
        <v>-118.75</v>
      </c>
      <c r="B430">
        <v>34.25</v>
      </c>
      <c r="C430">
        <v>2025</v>
      </c>
      <c r="D430">
        <v>1</v>
      </c>
      <c r="E430">
        <v>18</v>
      </c>
      <c r="F430">
        <f>Sayfa1!C430-273.15</f>
        <v>14.879785156250023</v>
      </c>
      <c r="G430">
        <v>40.730693817138672</v>
      </c>
      <c r="H430">
        <f>SQRT(Sayfa1!D430^2+Sayfa1!E430^2)</f>
        <v>0.55496165055552504</v>
      </c>
      <c r="I430">
        <f>SUM(Sayfa1!G407:G430)</f>
        <v>1.9073486328125E-2</v>
      </c>
    </row>
    <row r="431" spans="1:9" x14ac:dyDescent="0.3">
      <c r="A431">
        <v>-118.75</v>
      </c>
      <c r="B431">
        <v>34.25</v>
      </c>
      <c r="C431">
        <v>2025</v>
      </c>
      <c r="D431">
        <v>1</v>
      </c>
      <c r="E431">
        <v>18</v>
      </c>
      <c r="F431">
        <f>Sayfa1!C431-273.15</f>
        <v>16.025659179687523</v>
      </c>
      <c r="G431">
        <v>37.830047607421875</v>
      </c>
      <c r="H431">
        <f>SQRT(Sayfa1!D431^2+Sayfa1!E431^2)</f>
        <v>1.0716430468045921</v>
      </c>
      <c r="I431">
        <f>SUM(Sayfa1!G408:G431)</f>
        <v>1.9073486328125E-2</v>
      </c>
    </row>
    <row r="432" spans="1:9" x14ac:dyDescent="0.3">
      <c r="A432">
        <v>-118.75</v>
      </c>
      <c r="B432">
        <v>34.25</v>
      </c>
      <c r="C432">
        <v>2025</v>
      </c>
      <c r="D432">
        <v>1</v>
      </c>
      <c r="E432">
        <v>18</v>
      </c>
      <c r="F432">
        <f>Sayfa1!C432-273.15</f>
        <v>15.783349609375023</v>
      </c>
      <c r="G432">
        <v>38.794345855712891</v>
      </c>
      <c r="H432">
        <f>SQRT(Sayfa1!D432^2+Sayfa1!E432^2)</f>
        <v>1.3082790886063709</v>
      </c>
      <c r="I432">
        <f>SUM(Sayfa1!G409:G432)</f>
        <v>1.9073486328125E-2</v>
      </c>
    </row>
    <row r="433" spans="1:9" x14ac:dyDescent="0.3">
      <c r="A433">
        <v>-118.75</v>
      </c>
      <c r="B433">
        <v>34.25</v>
      </c>
      <c r="C433">
        <v>2025</v>
      </c>
      <c r="D433">
        <v>1</v>
      </c>
      <c r="E433">
        <v>18</v>
      </c>
      <c r="F433">
        <f>Sayfa1!C433-273.15</f>
        <v>16.116113281250023</v>
      </c>
      <c r="G433">
        <v>39.354583740234375</v>
      </c>
      <c r="H433">
        <f>SQRT(Sayfa1!D433^2+Sayfa1!E433^2)</f>
        <v>1.6559942534145609</v>
      </c>
      <c r="I433">
        <f>SUM(Sayfa1!G410:G433)</f>
        <v>1.9073486328125E-2</v>
      </c>
    </row>
    <row r="434" spans="1:9" x14ac:dyDescent="0.3">
      <c r="A434">
        <v>-118.75</v>
      </c>
      <c r="B434">
        <v>34.25</v>
      </c>
      <c r="C434">
        <v>2025</v>
      </c>
      <c r="D434">
        <v>1</v>
      </c>
      <c r="E434">
        <v>19</v>
      </c>
      <c r="F434">
        <f>Sayfa1!C434-273.15</f>
        <v>15.457666015625023</v>
      </c>
      <c r="G434">
        <v>46.218063354492188</v>
      </c>
      <c r="H434">
        <f>SQRT(Sayfa1!D434^2+Sayfa1!E434^2)</f>
        <v>2.1980711297598075</v>
      </c>
      <c r="I434">
        <f>SUM(Sayfa1!G411:G434)</f>
        <v>1.9073486328125E-2</v>
      </c>
    </row>
    <row r="435" spans="1:9" x14ac:dyDescent="0.3">
      <c r="A435">
        <v>-118.75</v>
      </c>
      <c r="B435">
        <v>34.25</v>
      </c>
      <c r="C435">
        <v>2025</v>
      </c>
      <c r="D435">
        <v>1</v>
      </c>
      <c r="E435">
        <v>19</v>
      </c>
      <c r="F435">
        <f>Sayfa1!C435-273.15</f>
        <v>13.754541015625023</v>
      </c>
      <c r="G435">
        <v>59.167221069335938</v>
      </c>
      <c r="H435">
        <f>SQRT(Sayfa1!D435^2+Sayfa1!E435^2)</f>
        <v>2.0728971964796439</v>
      </c>
      <c r="I435">
        <f>SUM(Sayfa1!G412:G435)</f>
        <v>1.9073486328125E-2</v>
      </c>
    </row>
    <row r="436" spans="1:9" x14ac:dyDescent="0.3">
      <c r="A436">
        <v>-118.75</v>
      </c>
      <c r="B436">
        <v>34.25</v>
      </c>
      <c r="C436">
        <v>2025</v>
      </c>
      <c r="D436">
        <v>1</v>
      </c>
      <c r="E436">
        <v>19</v>
      </c>
      <c r="F436">
        <f>Sayfa1!C436-273.15</f>
        <v>12.480737304687523</v>
      </c>
      <c r="G436">
        <v>69.7481689453125</v>
      </c>
      <c r="H436">
        <f>SQRT(Sayfa1!D436^2+Sayfa1!E436^2)</f>
        <v>1.6430027880687839</v>
      </c>
      <c r="I436">
        <f>SUM(Sayfa1!G413:G436)</f>
        <v>1.9073486328125E-2</v>
      </c>
    </row>
    <row r="437" spans="1:9" x14ac:dyDescent="0.3">
      <c r="A437">
        <v>-118.75</v>
      </c>
      <c r="B437">
        <v>34.25</v>
      </c>
      <c r="C437">
        <v>2025</v>
      </c>
      <c r="D437">
        <v>1</v>
      </c>
      <c r="E437">
        <v>19</v>
      </c>
      <c r="F437">
        <f>Sayfa1!C437-273.15</f>
        <v>12.478295898437523</v>
      </c>
      <c r="G437">
        <v>73.424209594726563</v>
      </c>
      <c r="H437">
        <f>SQRT(Sayfa1!D437^2+Sayfa1!E437^2)</f>
        <v>0.84288466996967304</v>
      </c>
      <c r="I437">
        <f>SUM(Sayfa1!G414:G437)</f>
        <v>1.9073486328125E-2</v>
      </c>
    </row>
    <row r="438" spans="1:9" x14ac:dyDescent="0.3">
      <c r="A438">
        <v>-118.75</v>
      </c>
      <c r="B438">
        <v>34.25</v>
      </c>
      <c r="C438">
        <v>2025</v>
      </c>
      <c r="D438">
        <v>1</v>
      </c>
      <c r="E438">
        <v>19</v>
      </c>
      <c r="F438">
        <f>Sayfa1!C438-273.15</f>
        <v>13.037988281250023</v>
      </c>
      <c r="G438">
        <v>72.91796875</v>
      </c>
      <c r="H438">
        <f>SQRT(Sayfa1!D438^2+Sayfa1!E438^2)</f>
        <v>0.54302189287313962</v>
      </c>
      <c r="I438">
        <f>SUM(Sayfa1!G415:G438)</f>
        <v>1.9073486328125E-2</v>
      </c>
    </row>
    <row r="439" spans="1:9" x14ac:dyDescent="0.3">
      <c r="A439">
        <v>-118.75</v>
      </c>
      <c r="B439">
        <v>34.25</v>
      </c>
      <c r="C439">
        <v>2025</v>
      </c>
      <c r="D439">
        <v>1</v>
      </c>
      <c r="E439">
        <v>19</v>
      </c>
      <c r="F439">
        <f>Sayfa1!C439-273.15</f>
        <v>13.299951171875023</v>
      </c>
      <c r="G439">
        <v>72.475418090820313</v>
      </c>
      <c r="H439">
        <f>SQRT(Sayfa1!D439^2+Sayfa1!E439^2)</f>
        <v>0.4881240639405916</v>
      </c>
      <c r="I439">
        <f>SUM(Sayfa1!G416:G439)</f>
        <v>1.9073486328125E-2</v>
      </c>
    </row>
    <row r="440" spans="1:9" x14ac:dyDescent="0.3">
      <c r="A440">
        <v>-118.75</v>
      </c>
      <c r="B440">
        <v>34.25</v>
      </c>
      <c r="C440">
        <v>2025</v>
      </c>
      <c r="D440">
        <v>1</v>
      </c>
      <c r="E440">
        <v>19</v>
      </c>
      <c r="F440">
        <f>Sayfa1!C440-273.15</f>
        <v>13.076806640625023</v>
      </c>
      <c r="G440">
        <v>73.158554077148438</v>
      </c>
      <c r="H440">
        <f>SQRT(Sayfa1!D440^2+Sayfa1!E440^2)</f>
        <v>0.66426128416968444</v>
      </c>
      <c r="I440">
        <f>SUM(Sayfa1!G417:G440)</f>
        <v>1.9073486328125E-2</v>
      </c>
    </row>
    <row r="441" spans="1:9" x14ac:dyDescent="0.3">
      <c r="A441">
        <v>-118.75</v>
      </c>
      <c r="B441">
        <v>34.25</v>
      </c>
      <c r="C441">
        <v>2025</v>
      </c>
      <c r="D441">
        <v>1</v>
      </c>
      <c r="E441">
        <v>19</v>
      </c>
      <c r="F441">
        <f>Sayfa1!C441-273.15</f>
        <v>12.776757812500023</v>
      </c>
      <c r="G441">
        <v>74.366546630859375</v>
      </c>
      <c r="H441">
        <f>SQRT(Sayfa1!D441^2+Sayfa1!E441^2)</f>
        <v>0.86102292325923035</v>
      </c>
      <c r="I441">
        <f>SUM(Sayfa1!G418:G441)</f>
        <v>1.9073486328125E-2</v>
      </c>
    </row>
    <row r="442" spans="1:9" x14ac:dyDescent="0.3">
      <c r="A442">
        <v>-118.75</v>
      </c>
      <c r="B442">
        <v>34.25</v>
      </c>
      <c r="C442">
        <v>2025</v>
      </c>
      <c r="D442">
        <v>1</v>
      </c>
      <c r="E442">
        <v>19</v>
      </c>
      <c r="F442">
        <f>Sayfa1!C442-273.15</f>
        <v>12.532983398437523</v>
      </c>
      <c r="G442">
        <v>75.38519287109375</v>
      </c>
      <c r="H442">
        <f>SQRT(Sayfa1!D442^2+Sayfa1!E442^2)</f>
        <v>1.0133887910448107</v>
      </c>
      <c r="I442">
        <f>SUM(Sayfa1!G419:G442)</f>
        <v>1.9073486328125E-2</v>
      </c>
    </row>
    <row r="443" spans="1:9" x14ac:dyDescent="0.3">
      <c r="A443">
        <v>-118.75</v>
      </c>
      <c r="B443">
        <v>34.25</v>
      </c>
      <c r="C443">
        <v>2025</v>
      </c>
      <c r="D443">
        <v>1</v>
      </c>
      <c r="E443">
        <v>19</v>
      </c>
      <c r="F443">
        <f>Sayfa1!C443-273.15</f>
        <v>12.294824218750023</v>
      </c>
      <c r="G443">
        <v>76.11016845703125</v>
      </c>
      <c r="H443">
        <f>SQRT(Sayfa1!D443^2+Sayfa1!E443^2)</f>
        <v>1.1246008654410278</v>
      </c>
      <c r="I443">
        <f>SUM(Sayfa1!G420:G443)</f>
        <v>1.621246337890625E-2</v>
      </c>
    </row>
    <row r="444" spans="1:9" x14ac:dyDescent="0.3">
      <c r="A444">
        <v>-118.75</v>
      </c>
      <c r="B444">
        <v>34.25</v>
      </c>
      <c r="C444">
        <v>2025</v>
      </c>
      <c r="D444">
        <v>1</v>
      </c>
      <c r="E444">
        <v>19</v>
      </c>
      <c r="F444">
        <f>Sayfa1!C444-273.15</f>
        <v>11.738305664062523</v>
      </c>
      <c r="G444">
        <v>79.273666381835938</v>
      </c>
      <c r="H444">
        <f>SQRT(Sayfa1!D444^2+Sayfa1!E444^2)</f>
        <v>1.2051440315408946</v>
      </c>
      <c r="I444">
        <f>SUM(Sayfa1!G421:G444)</f>
        <v>9.059906005859375E-3</v>
      </c>
    </row>
    <row r="445" spans="1:9" x14ac:dyDescent="0.3">
      <c r="A445">
        <v>-118.75</v>
      </c>
      <c r="B445">
        <v>34.25</v>
      </c>
      <c r="C445">
        <v>2025</v>
      </c>
      <c r="D445">
        <v>1</v>
      </c>
      <c r="E445">
        <v>19</v>
      </c>
      <c r="F445">
        <f>Sayfa1!C445-273.15</f>
        <v>11.723413085937523</v>
      </c>
      <c r="G445">
        <v>76.45623779296875</v>
      </c>
      <c r="H445">
        <f>SQRT(Sayfa1!D445^2+Sayfa1!E445^2)</f>
        <v>0.99778387783649325</v>
      </c>
      <c r="I445">
        <f>SUM(Sayfa1!G422:G445)</f>
        <v>3.814697265625E-3</v>
      </c>
    </row>
    <row r="446" spans="1:9" x14ac:dyDescent="0.3">
      <c r="A446">
        <v>-118.75</v>
      </c>
      <c r="B446">
        <v>34.25</v>
      </c>
      <c r="C446">
        <v>2025</v>
      </c>
      <c r="D446">
        <v>1</v>
      </c>
      <c r="E446">
        <v>19</v>
      </c>
      <c r="F446">
        <f>Sayfa1!C446-273.15</f>
        <v>11.647607421875023</v>
      </c>
      <c r="G446">
        <v>74.998565673828125</v>
      </c>
      <c r="H446">
        <f>SQRT(Sayfa1!D446^2+Sayfa1!E446^2)</f>
        <v>1.1410447819545479</v>
      </c>
      <c r="I446">
        <f>SUM(Sayfa1!G423:G446)</f>
        <v>3.337860107421875E-3</v>
      </c>
    </row>
    <row r="447" spans="1:9" x14ac:dyDescent="0.3">
      <c r="A447">
        <v>-118.75</v>
      </c>
      <c r="B447">
        <v>34.25</v>
      </c>
      <c r="C447">
        <v>2025</v>
      </c>
      <c r="D447">
        <v>1</v>
      </c>
      <c r="E447">
        <v>19</v>
      </c>
      <c r="F447">
        <f>Sayfa1!C447-273.15</f>
        <v>11.720849609375023</v>
      </c>
      <c r="G447">
        <v>73.027191162109375</v>
      </c>
      <c r="H447">
        <f>SQRT(Sayfa1!D447^2+Sayfa1!E447^2)</f>
        <v>1.1957672812667053</v>
      </c>
      <c r="I447">
        <f>SUM(Sayfa1!G424:G447)</f>
        <v>2.86102294921875E-3</v>
      </c>
    </row>
    <row r="448" spans="1:9" x14ac:dyDescent="0.3">
      <c r="A448">
        <v>-118.75</v>
      </c>
      <c r="B448">
        <v>34.25</v>
      </c>
      <c r="C448">
        <v>2025</v>
      </c>
      <c r="D448">
        <v>1</v>
      </c>
      <c r="E448">
        <v>19</v>
      </c>
      <c r="F448">
        <f>Sayfa1!C448-273.15</f>
        <v>11.696679687500023</v>
      </c>
      <c r="G448">
        <v>70.634872436523438</v>
      </c>
      <c r="H448">
        <f>SQRT(Sayfa1!D448^2+Sayfa1!E448^2)</f>
        <v>0.93417084897789215</v>
      </c>
      <c r="I448">
        <f>SUM(Sayfa1!G425:G448)</f>
        <v>1.9073486328125E-3</v>
      </c>
    </row>
    <row r="449" spans="1:9" x14ac:dyDescent="0.3">
      <c r="A449">
        <v>-118.75</v>
      </c>
      <c r="B449">
        <v>34.25</v>
      </c>
      <c r="C449">
        <v>2025</v>
      </c>
      <c r="D449">
        <v>1</v>
      </c>
      <c r="E449">
        <v>19</v>
      </c>
      <c r="F449">
        <f>Sayfa1!C449-273.15</f>
        <v>11.314111328125023</v>
      </c>
      <c r="G449">
        <v>70.58905029296875</v>
      </c>
      <c r="H449">
        <f>SQRT(Sayfa1!D449^2+Sayfa1!E449^2)</f>
        <v>0.59873195219315012</v>
      </c>
      <c r="I449">
        <f>SUM(Sayfa1!G426:G449)</f>
        <v>1.430511474609375E-3</v>
      </c>
    </row>
    <row r="450" spans="1:9" x14ac:dyDescent="0.3">
      <c r="A450">
        <v>-118.75</v>
      </c>
      <c r="B450">
        <v>34.25</v>
      </c>
      <c r="C450">
        <v>2025</v>
      </c>
      <c r="D450">
        <v>1</v>
      </c>
      <c r="E450">
        <v>19</v>
      </c>
      <c r="F450">
        <f>Sayfa1!C450-273.15</f>
        <v>10.885034179687523</v>
      </c>
      <c r="G450">
        <v>71.143341064453125</v>
      </c>
      <c r="H450">
        <f>SQRT(Sayfa1!D450^2+Sayfa1!E450^2)</f>
        <v>0.53191569506368119</v>
      </c>
      <c r="I450">
        <f>SUM(Sayfa1!G427:G450)</f>
        <v>4.76837158203125E-4</v>
      </c>
    </row>
    <row r="451" spans="1:9" x14ac:dyDescent="0.3">
      <c r="A451">
        <v>-118.75</v>
      </c>
      <c r="B451">
        <v>34.25</v>
      </c>
      <c r="C451">
        <v>2025</v>
      </c>
      <c r="D451">
        <v>1</v>
      </c>
      <c r="E451">
        <v>19</v>
      </c>
      <c r="F451">
        <f>Sayfa1!C451-273.15</f>
        <v>10.830102539062523</v>
      </c>
      <c r="G451">
        <v>66.55322265625</v>
      </c>
      <c r="H451">
        <f>SQRT(Sayfa1!D451^2+Sayfa1!E451^2)</f>
        <v>0.68185690072718319</v>
      </c>
      <c r="I451">
        <f>SUM(Sayfa1!G428:G451)</f>
        <v>4.76837158203125E-4</v>
      </c>
    </row>
    <row r="452" spans="1:9" x14ac:dyDescent="0.3">
      <c r="A452">
        <v>-118.75</v>
      </c>
      <c r="B452">
        <v>34.25</v>
      </c>
      <c r="C452">
        <v>2025</v>
      </c>
      <c r="D452">
        <v>1</v>
      </c>
      <c r="E452">
        <v>19</v>
      </c>
      <c r="F452">
        <f>Sayfa1!C452-273.15</f>
        <v>11.382348632812523</v>
      </c>
      <c r="G452">
        <v>60.270645141601563</v>
      </c>
      <c r="H452">
        <f>SQRT(Sayfa1!D452^2+Sayfa1!E452^2)</f>
        <v>1.0982514801502308</v>
      </c>
      <c r="I452">
        <f>SUM(Sayfa1!G429:G452)</f>
        <v>3.337860107421875E-3</v>
      </c>
    </row>
    <row r="453" spans="1:9" x14ac:dyDescent="0.3">
      <c r="A453">
        <v>-118.75</v>
      </c>
      <c r="B453">
        <v>34.25</v>
      </c>
      <c r="C453">
        <v>2025</v>
      </c>
      <c r="D453">
        <v>1</v>
      </c>
      <c r="E453">
        <v>19</v>
      </c>
      <c r="F453">
        <f>Sayfa1!C453-273.15</f>
        <v>12.491113281250023</v>
      </c>
      <c r="G453">
        <v>54.155853271484375</v>
      </c>
      <c r="H453">
        <f>SQRT(Sayfa1!D453^2+Sayfa1!E453^2)</f>
        <v>1.6196683856429461</v>
      </c>
      <c r="I453">
        <f>SUM(Sayfa1!G430:G453)</f>
        <v>3.814697265625E-3</v>
      </c>
    </row>
    <row r="454" spans="1:9" x14ac:dyDescent="0.3">
      <c r="A454">
        <v>-118.75</v>
      </c>
      <c r="B454">
        <v>34.25</v>
      </c>
      <c r="C454">
        <v>2025</v>
      </c>
      <c r="D454">
        <v>1</v>
      </c>
      <c r="E454">
        <v>19</v>
      </c>
      <c r="F454">
        <f>Sayfa1!C454-273.15</f>
        <v>13.481591796875023</v>
      </c>
      <c r="G454">
        <v>51.090484619140625</v>
      </c>
      <c r="H454">
        <f>SQRT(Sayfa1!D454^2+Sayfa1!E454^2)</f>
        <v>2.1917983172832094</v>
      </c>
      <c r="I454">
        <f>SUM(Sayfa1!G431:G454)</f>
        <v>3.814697265625E-3</v>
      </c>
    </row>
    <row r="455" spans="1:9" x14ac:dyDescent="0.3">
      <c r="A455">
        <v>-118.75</v>
      </c>
      <c r="B455">
        <v>34.25</v>
      </c>
      <c r="C455">
        <v>2025</v>
      </c>
      <c r="D455">
        <v>1</v>
      </c>
      <c r="E455">
        <v>19</v>
      </c>
      <c r="F455">
        <f>Sayfa1!C455-273.15</f>
        <v>14.291650390625023</v>
      </c>
      <c r="G455">
        <v>49.870986938476563</v>
      </c>
      <c r="H455">
        <f>SQRT(Sayfa1!D455^2+Sayfa1!E455^2)</f>
        <v>2.8568848185808267</v>
      </c>
      <c r="I455">
        <f>SUM(Sayfa1!G432:G455)</f>
        <v>3.814697265625E-3</v>
      </c>
    </row>
    <row r="456" spans="1:9" x14ac:dyDescent="0.3">
      <c r="A456">
        <v>-118.75</v>
      </c>
      <c r="B456">
        <v>34.25</v>
      </c>
      <c r="C456">
        <v>2025</v>
      </c>
      <c r="D456">
        <v>1</v>
      </c>
      <c r="E456">
        <v>19</v>
      </c>
      <c r="F456">
        <f>Sayfa1!C456-273.15</f>
        <v>13.531884765625023</v>
      </c>
      <c r="G456">
        <v>59.961807250976563</v>
      </c>
      <c r="H456">
        <f>SQRT(Sayfa1!D456^2+Sayfa1!E456^2)</f>
        <v>1.673311174626867</v>
      </c>
      <c r="I456">
        <f>SUM(Sayfa1!G433:G456)</f>
        <v>3.814697265625E-3</v>
      </c>
    </row>
    <row r="457" spans="1:9" x14ac:dyDescent="0.3">
      <c r="A457">
        <v>-118.75</v>
      </c>
      <c r="B457">
        <v>34.25</v>
      </c>
      <c r="C457">
        <v>2025</v>
      </c>
      <c r="D457">
        <v>1</v>
      </c>
      <c r="E457">
        <v>19</v>
      </c>
      <c r="F457">
        <f>Sayfa1!C457-273.15</f>
        <v>13.739404296875023</v>
      </c>
      <c r="G457">
        <v>60.724334716796875</v>
      </c>
      <c r="H457">
        <f>SQRT(Sayfa1!D457^2+Sayfa1!E457^2)</f>
        <v>2.0904650725473584</v>
      </c>
      <c r="I457">
        <f>SUM(Sayfa1!G434:G457)</f>
        <v>3.814697265625E-3</v>
      </c>
    </row>
    <row r="458" spans="1:9" x14ac:dyDescent="0.3">
      <c r="A458">
        <v>-118.75</v>
      </c>
      <c r="B458">
        <v>34.25</v>
      </c>
      <c r="C458">
        <v>2025</v>
      </c>
      <c r="D458">
        <v>1</v>
      </c>
      <c r="E458">
        <v>20</v>
      </c>
      <c r="F458">
        <f>Sayfa1!C458-273.15</f>
        <v>13.335351562500023</v>
      </c>
      <c r="G458">
        <v>65.350372314453125</v>
      </c>
      <c r="H458">
        <f>SQRT(Sayfa1!D458^2+Sayfa1!E458^2)</f>
        <v>2.2423347319302742</v>
      </c>
      <c r="I458">
        <f>SUM(Sayfa1!G435:G458)</f>
        <v>3.814697265625E-3</v>
      </c>
    </row>
    <row r="459" spans="1:9" x14ac:dyDescent="0.3">
      <c r="A459">
        <v>-118.75</v>
      </c>
      <c r="B459">
        <v>34.25</v>
      </c>
      <c r="C459">
        <v>2025</v>
      </c>
      <c r="D459">
        <v>1</v>
      </c>
      <c r="E459">
        <v>20</v>
      </c>
      <c r="F459">
        <f>Sayfa1!C459-273.15</f>
        <v>12.203881835937523</v>
      </c>
      <c r="G459">
        <v>75.971343994140625</v>
      </c>
      <c r="H459">
        <f>SQRT(Sayfa1!D459^2+Sayfa1!E459^2)</f>
        <v>1.8058935180021605</v>
      </c>
      <c r="I459">
        <f>SUM(Sayfa1!G436:G459)</f>
        <v>3.814697265625E-3</v>
      </c>
    </row>
    <row r="460" spans="1:9" x14ac:dyDescent="0.3">
      <c r="A460">
        <v>-118.75</v>
      </c>
      <c r="B460">
        <v>34.25</v>
      </c>
      <c r="C460">
        <v>2025</v>
      </c>
      <c r="D460">
        <v>1</v>
      </c>
      <c r="E460">
        <v>20</v>
      </c>
      <c r="F460">
        <f>Sayfa1!C460-273.15</f>
        <v>11.365136718750023</v>
      </c>
      <c r="G460">
        <v>84.789169311523438</v>
      </c>
      <c r="H460">
        <f>SQRT(Sayfa1!D460^2+Sayfa1!E460^2)</f>
        <v>1.667002724604163</v>
      </c>
      <c r="I460">
        <f>SUM(Sayfa1!G437:G460)</f>
        <v>3.814697265625E-3</v>
      </c>
    </row>
    <row r="461" spans="1:9" x14ac:dyDescent="0.3">
      <c r="A461">
        <v>-118.75</v>
      </c>
      <c r="B461">
        <v>34.25</v>
      </c>
      <c r="C461">
        <v>2025</v>
      </c>
      <c r="D461">
        <v>1</v>
      </c>
      <c r="E461">
        <v>20</v>
      </c>
      <c r="F461">
        <f>Sayfa1!C461-273.15</f>
        <v>11.042504882812523</v>
      </c>
      <c r="G461">
        <v>89.278030395507813</v>
      </c>
      <c r="H461">
        <f>SQRT(Sayfa1!D461^2+Sayfa1!E461^2)</f>
        <v>1.3164655912767671</v>
      </c>
      <c r="I461">
        <f>SUM(Sayfa1!G438:G461)</f>
        <v>3.814697265625E-3</v>
      </c>
    </row>
    <row r="462" spans="1:9" x14ac:dyDescent="0.3">
      <c r="A462">
        <v>-118.75</v>
      </c>
      <c r="B462">
        <v>34.25</v>
      </c>
      <c r="C462">
        <v>2025</v>
      </c>
      <c r="D462">
        <v>1</v>
      </c>
      <c r="E462">
        <v>20</v>
      </c>
      <c r="F462">
        <f>Sayfa1!C462-273.15</f>
        <v>11.014672851562523</v>
      </c>
      <c r="G462">
        <v>90.897064208984375</v>
      </c>
      <c r="H462">
        <f>SQRT(Sayfa1!D462^2+Sayfa1!E462^2)</f>
        <v>0.86428188045308685</v>
      </c>
      <c r="I462">
        <f>SUM(Sayfa1!G439:G462)</f>
        <v>3.814697265625E-3</v>
      </c>
    </row>
    <row r="463" spans="1:9" x14ac:dyDescent="0.3">
      <c r="A463">
        <v>-118.75</v>
      </c>
      <c r="B463">
        <v>34.25</v>
      </c>
      <c r="C463">
        <v>2025</v>
      </c>
      <c r="D463">
        <v>1</v>
      </c>
      <c r="E463">
        <v>20</v>
      </c>
      <c r="F463">
        <f>Sayfa1!C463-273.15</f>
        <v>11.020654296875023</v>
      </c>
      <c r="G463">
        <v>90.906829833984375</v>
      </c>
      <c r="H463">
        <f>SQRT(Sayfa1!D463^2+Sayfa1!E463^2)</f>
        <v>0.32725387696038</v>
      </c>
      <c r="I463">
        <f>SUM(Sayfa1!G440:G463)</f>
        <v>3.814697265625E-3</v>
      </c>
    </row>
    <row r="464" spans="1:9" x14ac:dyDescent="0.3">
      <c r="A464">
        <v>-118.75</v>
      </c>
      <c r="B464">
        <v>34.25</v>
      </c>
      <c r="C464">
        <v>2025</v>
      </c>
      <c r="D464">
        <v>1</v>
      </c>
      <c r="E464">
        <v>20</v>
      </c>
      <c r="F464">
        <f>Sayfa1!C464-273.15</f>
        <v>10.945947265625023</v>
      </c>
      <c r="G464">
        <v>90.446685791015625</v>
      </c>
      <c r="H464">
        <f>SQRT(Sayfa1!D464^2+Sayfa1!E464^2)</f>
        <v>9.183517884509404E-2</v>
      </c>
      <c r="I464">
        <f>SUM(Sayfa1!G441:G464)</f>
        <v>3.814697265625E-3</v>
      </c>
    </row>
    <row r="465" spans="1:9" x14ac:dyDescent="0.3">
      <c r="A465">
        <v>-118.75</v>
      </c>
      <c r="B465">
        <v>34.25</v>
      </c>
      <c r="C465">
        <v>2025</v>
      </c>
      <c r="D465">
        <v>1</v>
      </c>
      <c r="E465">
        <v>20</v>
      </c>
      <c r="F465">
        <f>Sayfa1!C465-273.15</f>
        <v>10.823266601562523</v>
      </c>
      <c r="G465">
        <v>89.903945922851563</v>
      </c>
      <c r="H465">
        <f>SQRT(Sayfa1!D465^2+Sayfa1!E465^2)</f>
        <v>0.30108091518293684</v>
      </c>
      <c r="I465">
        <f>SUM(Sayfa1!G442:G465)</f>
        <v>3.814697265625E-3</v>
      </c>
    </row>
    <row r="466" spans="1:9" x14ac:dyDescent="0.3">
      <c r="A466">
        <v>-118.75</v>
      </c>
      <c r="B466">
        <v>34.25</v>
      </c>
      <c r="C466">
        <v>2025</v>
      </c>
      <c r="D466">
        <v>1</v>
      </c>
      <c r="E466">
        <v>20</v>
      </c>
      <c r="F466">
        <f>Sayfa1!C466-273.15</f>
        <v>10.690087890625023</v>
      </c>
      <c r="G466">
        <v>89.681121826171875</v>
      </c>
      <c r="H466">
        <f>SQRT(Sayfa1!D466^2+Sayfa1!E466^2)</f>
        <v>0.73010752108095034</v>
      </c>
      <c r="I466">
        <f>SUM(Sayfa1!G443:G466)</f>
        <v>3.814697265625E-3</v>
      </c>
    </row>
    <row r="467" spans="1:9" x14ac:dyDescent="0.3">
      <c r="A467">
        <v>-118.75</v>
      </c>
      <c r="B467">
        <v>34.25</v>
      </c>
      <c r="C467">
        <v>2025</v>
      </c>
      <c r="D467">
        <v>1</v>
      </c>
      <c r="E467">
        <v>20</v>
      </c>
      <c r="F467">
        <f>Sayfa1!C467-273.15</f>
        <v>10.622827148437523</v>
      </c>
      <c r="G467">
        <v>89.541107177734375</v>
      </c>
      <c r="H467">
        <f>SQRT(Sayfa1!D467^2+Sayfa1!E467^2)</f>
        <v>1.093642080040673</v>
      </c>
      <c r="I467">
        <f>SUM(Sayfa1!G444:G467)</f>
        <v>3.814697265625E-3</v>
      </c>
    </row>
    <row r="468" spans="1:9" x14ac:dyDescent="0.3">
      <c r="A468">
        <v>-118.75</v>
      </c>
      <c r="B468">
        <v>34.25</v>
      </c>
      <c r="C468">
        <v>2025</v>
      </c>
      <c r="D468">
        <v>1</v>
      </c>
      <c r="E468">
        <v>20</v>
      </c>
      <c r="F468">
        <f>Sayfa1!C468-273.15</f>
        <v>10.427941894531273</v>
      </c>
      <c r="G468">
        <v>87.7095947265625</v>
      </c>
      <c r="H468">
        <f>SQRT(Sayfa1!D468^2+Sayfa1!E468^2)</f>
        <v>1.6901297578664445</v>
      </c>
      <c r="I468">
        <f>SUM(Sayfa1!G445:G468)</f>
        <v>3.814697265625E-3</v>
      </c>
    </row>
    <row r="469" spans="1:9" x14ac:dyDescent="0.3">
      <c r="A469">
        <v>-118.75</v>
      </c>
      <c r="B469">
        <v>34.25</v>
      </c>
      <c r="C469">
        <v>2025</v>
      </c>
      <c r="D469">
        <v>1</v>
      </c>
      <c r="E469">
        <v>20</v>
      </c>
      <c r="F469">
        <f>Sayfa1!C469-273.15</f>
        <v>11.078210449218773</v>
      </c>
      <c r="G469">
        <v>86.893646240234375</v>
      </c>
      <c r="H469">
        <f>SQRT(Sayfa1!D469^2+Sayfa1!E469^2)</f>
        <v>1.567869738973521</v>
      </c>
      <c r="I469">
        <f>SUM(Sayfa1!G446:G469)</f>
        <v>3.814697265625E-3</v>
      </c>
    </row>
    <row r="470" spans="1:9" x14ac:dyDescent="0.3">
      <c r="A470">
        <v>-118.75</v>
      </c>
      <c r="B470">
        <v>34.25</v>
      </c>
      <c r="C470">
        <v>2025</v>
      </c>
      <c r="D470">
        <v>1</v>
      </c>
      <c r="E470">
        <v>20</v>
      </c>
      <c r="F470">
        <f>Sayfa1!C470-273.15</f>
        <v>11.514001464843773</v>
      </c>
      <c r="G470">
        <v>83.74468994140625</v>
      </c>
      <c r="H470">
        <f>SQRT(Sayfa1!D470^2+Sayfa1!E470^2)</f>
        <v>1.6296549371200542</v>
      </c>
      <c r="I470">
        <f>SUM(Sayfa1!G447:G470)</f>
        <v>3.814697265625E-3</v>
      </c>
    </row>
    <row r="471" spans="1:9" x14ac:dyDescent="0.3">
      <c r="A471">
        <v>-118.75</v>
      </c>
      <c r="B471">
        <v>34.25</v>
      </c>
      <c r="C471">
        <v>2025</v>
      </c>
      <c r="D471">
        <v>1</v>
      </c>
      <c r="E471">
        <v>20</v>
      </c>
      <c r="F471">
        <f>Sayfa1!C471-273.15</f>
        <v>11.738793945312523</v>
      </c>
      <c r="G471">
        <v>80.495437622070313</v>
      </c>
      <c r="H471">
        <f>SQRT(Sayfa1!D471^2+Sayfa1!E471^2)</f>
        <v>1.8010231451517229</v>
      </c>
      <c r="I471">
        <f>SUM(Sayfa1!G448:G471)</f>
        <v>3.814697265625E-3</v>
      </c>
    </row>
    <row r="472" spans="1:9" x14ac:dyDescent="0.3">
      <c r="A472">
        <v>-118.75</v>
      </c>
      <c r="B472">
        <v>34.25</v>
      </c>
      <c r="C472">
        <v>2025</v>
      </c>
      <c r="D472">
        <v>1</v>
      </c>
      <c r="E472">
        <v>20</v>
      </c>
      <c r="F472">
        <f>Sayfa1!C472-273.15</f>
        <v>11.965356445312523</v>
      </c>
      <c r="G472">
        <v>79.489334106445313</v>
      </c>
      <c r="H472">
        <f>SQRT(Sayfa1!D472^2+Sayfa1!E472^2)</f>
        <v>2.0187169789158892</v>
      </c>
      <c r="I472">
        <f>SUM(Sayfa1!G449:G472)</f>
        <v>3.814697265625E-3</v>
      </c>
    </row>
    <row r="473" spans="1:9" x14ac:dyDescent="0.3">
      <c r="A473">
        <v>-118.75</v>
      </c>
      <c r="B473">
        <v>34.25</v>
      </c>
      <c r="C473">
        <v>2025</v>
      </c>
      <c r="D473">
        <v>1</v>
      </c>
      <c r="E473">
        <v>20</v>
      </c>
      <c r="F473">
        <f>Sayfa1!C473-273.15</f>
        <v>12.443383789062523</v>
      </c>
      <c r="G473">
        <v>76.365997314453125</v>
      </c>
      <c r="H473">
        <f>SQRT(Sayfa1!D473^2+Sayfa1!E473^2)</f>
        <v>2.1598769598250609</v>
      </c>
      <c r="I473">
        <f>SUM(Sayfa1!G450:G473)</f>
        <v>3.337860107421875E-3</v>
      </c>
    </row>
    <row r="474" spans="1:9" x14ac:dyDescent="0.3">
      <c r="A474">
        <v>-118.75</v>
      </c>
      <c r="B474">
        <v>34.25</v>
      </c>
      <c r="C474">
        <v>2025</v>
      </c>
      <c r="D474">
        <v>1</v>
      </c>
      <c r="E474">
        <v>20</v>
      </c>
      <c r="F474">
        <f>Sayfa1!C474-273.15</f>
        <v>13.167871093750023</v>
      </c>
      <c r="G474">
        <v>65.955154418945313</v>
      </c>
      <c r="H474">
        <f>SQRT(Sayfa1!D474^2+Sayfa1!E474^2)</f>
        <v>2.1795886631103625</v>
      </c>
      <c r="I474">
        <f>SUM(Sayfa1!G451:G474)</f>
        <v>3.337860107421875E-3</v>
      </c>
    </row>
    <row r="475" spans="1:9" x14ac:dyDescent="0.3">
      <c r="A475">
        <v>-118.75</v>
      </c>
      <c r="B475">
        <v>34.25</v>
      </c>
      <c r="C475">
        <v>2025</v>
      </c>
      <c r="D475">
        <v>1</v>
      </c>
      <c r="E475">
        <v>20</v>
      </c>
      <c r="F475">
        <f>Sayfa1!C475-273.15</f>
        <v>13.511987304687523</v>
      </c>
      <c r="G475">
        <v>47.5166015625</v>
      </c>
      <c r="H475">
        <f>SQRT(Sayfa1!D475^2+Sayfa1!E475^2)</f>
        <v>2.1472235159581787</v>
      </c>
      <c r="I475">
        <f>SUM(Sayfa1!G452:G475)</f>
        <v>3.337860107421875E-3</v>
      </c>
    </row>
    <row r="476" spans="1:9" x14ac:dyDescent="0.3">
      <c r="A476">
        <v>-118.75</v>
      </c>
      <c r="B476">
        <v>34.25</v>
      </c>
      <c r="C476">
        <v>2025</v>
      </c>
      <c r="D476">
        <v>1</v>
      </c>
      <c r="E476">
        <v>20</v>
      </c>
      <c r="F476">
        <f>Sayfa1!C476-273.15</f>
        <v>14.608666992187523</v>
      </c>
      <c r="G476">
        <v>23.795154571533203</v>
      </c>
      <c r="H476">
        <f>SQRT(Sayfa1!D476^2+Sayfa1!E476^2)</f>
        <v>3.5199298892537434</v>
      </c>
      <c r="I476">
        <f>SUM(Sayfa1!G453:G476)</f>
        <v>4.76837158203125E-4</v>
      </c>
    </row>
    <row r="477" spans="1:9" x14ac:dyDescent="0.3">
      <c r="A477">
        <v>-118.75</v>
      </c>
      <c r="B477">
        <v>34.25</v>
      </c>
      <c r="C477">
        <v>2025</v>
      </c>
      <c r="D477">
        <v>1</v>
      </c>
      <c r="E477">
        <v>20</v>
      </c>
      <c r="F477">
        <f>Sayfa1!C477-273.15</f>
        <v>16.504846191406273</v>
      </c>
      <c r="G477">
        <v>11.982133865356445</v>
      </c>
      <c r="H477">
        <f>SQRT(Sayfa1!D477^2+Sayfa1!E477^2)</f>
        <v>5.5353968704665704</v>
      </c>
      <c r="I477">
        <f>SUM(Sayfa1!G454:G477)</f>
        <v>0</v>
      </c>
    </row>
    <row r="478" spans="1:9" x14ac:dyDescent="0.3">
      <c r="A478">
        <v>-118.75</v>
      </c>
      <c r="B478">
        <v>34.25</v>
      </c>
      <c r="C478">
        <v>2025</v>
      </c>
      <c r="D478">
        <v>1</v>
      </c>
      <c r="E478">
        <v>20</v>
      </c>
      <c r="F478">
        <f>Sayfa1!C478-273.15</f>
        <v>17.298791503906273</v>
      </c>
      <c r="G478">
        <v>9.2143716812133789</v>
      </c>
      <c r="H478">
        <f>SQRT(Sayfa1!D478^2+Sayfa1!E478^2)</f>
        <v>6.2618304080996667</v>
      </c>
      <c r="I478">
        <f>SUM(Sayfa1!G455:G478)</f>
        <v>0</v>
      </c>
    </row>
    <row r="479" spans="1:9" x14ac:dyDescent="0.3">
      <c r="A479">
        <v>-118.75</v>
      </c>
      <c r="B479">
        <v>34.25</v>
      </c>
      <c r="C479">
        <v>2025</v>
      </c>
      <c r="D479">
        <v>1</v>
      </c>
      <c r="E479">
        <v>20</v>
      </c>
      <c r="F479">
        <f>Sayfa1!C479-273.15</f>
        <v>17.413415527343773</v>
      </c>
      <c r="G479">
        <v>9.2578372955322266</v>
      </c>
      <c r="H479">
        <f>SQRT(Sayfa1!D479^2+Sayfa1!E479^2)</f>
        <v>6.1916748706115134</v>
      </c>
      <c r="I479">
        <f>SUM(Sayfa1!G456:G479)</f>
        <v>0</v>
      </c>
    </row>
    <row r="480" spans="1:9" x14ac:dyDescent="0.3">
      <c r="A480">
        <v>-118.75</v>
      </c>
      <c r="B480">
        <v>34.25</v>
      </c>
      <c r="C480">
        <v>2025</v>
      </c>
      <c r="D480">
        <v>1</v>
      </c>
      <c r="E480">
        <v>20</v>
      </c>
      <c r="F480">
        <f>Sayfa1!C480-273.15</f>
        <v>17.341394042968773</v>
      </c>
      <c r="G480">
        <v>9.1574287414550781</v>
      </c>
      <c r="H480">
        <f>SQRT(Sayfa1!D480^2+Sayfa1!E480^2)</f>
        <v>5.4682094324902488</v>
      </c>
      <c r="I480">
        <f>SUM(Sayfa1!G457:G480)</f>
        <v>0</v>
      </c>
    </row>
    <row r="481" spans="1:9" x14ac:dyDescent="0.3">
      <c r="A481">
        <v>-118.75</v>
      </c>
      <c r="B481">
        <v>34.25</v>
      </c>
      <c r="C481">
        <v>2025</v>
      </c>
      <c r="D481">
        <v>1</v>
      </c>
      <c r="E481">
        <v>20</v>
      </c>
      <c r="F481">
        <f>Sayfa1!C481-273.15</f>
        <v>17.486413574218773</v>
      </c>
      <c r="G481">
        <v>8.7208976745605469</v>
      </c>
      <c r="H481">
        <f>SQRT(Sayfa1!D481^2+Sayfa1!E481^2)</f>
        <v>4.997565737590147</v>
      </c>
      <c r="I481">
        <f>SUM(Sayfa1!G458:G481)</f>
        <v>0</v>
      </c>
    </row>
    <row r="482" spans="1:9" x14ac:dyDescent="0.3">
      <c r="A482">
        <v>-118.75</v>
      </c>
      <c r="B482">
        <v>34.25</v>
      </c>
      <c r="C482">
        <v>2025</v>
      </c>
      <c r="D482">
        <v>1</v>
      </c>
      <c r="E482">
        <v>21</v>
      </c>
      <c r="F482">
        <f>Sayfa1!C482-273.15</f>
        <v>17.368127441406273</v>
      </c>
      <c r="G482">
        <v>9.1935548782348633</v>
      </c>
      <c r="H482">
        <f>SQRT(Sayfa1!D482^2+Sayfa1!E482^2)</f>
        <v>4.1341984753876311</v>
      </c>
      <c r="I482">
        <f>SUM(Sayfa1!G459:G482)</f>
        <v>0</v>
      </c>
    </row>
    <row r="483" spans="1:9" x14ac:dyDescent="0.3">
      <c r="A483">
        <v>-118.75</v>
      </c>
      <c r="B483">
        <v>34.25</v>
      </c>
      <c r="C483">
        <v>2025</v>
      </c>
      <c r="D483">
        <v>1</v>
      </c>
      <c r="E483">
        <v>21</v>
      </c>
      <c r="F483">
        <f>Sayfa1!C483-273.15</f>
        <v>16.867028808593773</v>
      </c>
      <c r="G483">
        <v>10.865752220153809</v>
      </c>
      <c r="H483">
        <f>SQRT(Sayfa1!D483^2+Sayfa1!E483^2)</f>
        <v>3.4869834894659957</v>
      </c>
      <c r="I483">
        <f>SUM(Sayfa1!G460:G483)</f>
        <v>0</v>
      </c>
    </row>
    <row r="484" spans="1:9" x14ac:dyDescent="0.3">
      <c r="A484">
        <v>-118.75</v>
      </c>
      <c r="B484">
        <v>34.25</v>
      </c>
      <c r="C484">
        <v>2025</v>
      </c>
      <c r="D484">
        <v>1</v>
      </c>
      <c r="E484">
        <v>21</v>
      </c>
      <c r="F484">
        <f>Sayfa1!C484-273.15</f>
        <v>16.157739257812523</v>
      </c>
      <c r="G484">
        <v>11.898004531860352</v>
      </c>
      <c r="H484">
        <f>SQRT(Sayfa1!D484^2+Sayfa1!E484^2)</f>
        <v>3.2642512018820629</v>
      </c>
      <c r="I484">
        <f>SUM(Sayfa1!G461:G484)</f>
        <v>0</v>
      </c>
    </row>
    <row r="485" spans="1:9" x14ac:dyDescent="0.3">
      <c r="A485">
        <v>-118.75</v>
      </c>
      <c r="B485">
        <v>34.25</v>
      </c>
      <c r="C485">
        <v>2025</v>
      </c>
      <c r="D485">
        <v>1</v>
      </c>
      <c r="E485">
        <v>21</v>
      </c>
      <c r="F485">
        <f>Sayfa1!C485-273.15</f>
        <v>15.369042968750023</v>
      </c>
      <c r="G485">
        <v>12.552806854248047</v>
      </c>
      <c r="H485">
        <f>SQRT(Sayfa1!D485^2+Sayfa1!E485^2)</f>
        <v>3.0645544609837754</v>
      </c>
      <c r="I485">
        <f>SUM(Sayfa1!G462:G485)</f>
        <v>0</v>
      </c>
    </row>
    <row r="486" spans="1:9" x14ac:dyDescent="0.3">
      <c r="A486">
        <v>-118.75</v>
      </c>
      <c r="B486">
        <v>34.25</v>
      </c>
      <c r="C486">
        <v>2025</v>
      </c>
      <c r="D486">
        <v>1</v>
      </c>
      <c r="E486">
        <v>21</v>
      </c>
      <c r="F486">
        <f>Sayfa1!C486-273.15</f>
        <v>14.672631835937523</v>
      </c>
      <c r="G486">
        <v>13.06285572052002</v>
      </c>
      <c r="H486">
        <f>SQRT(Sayfa1!D486^2+Sayfa1!E486^2)</f>
        <v>3.0879391972007917</v>
      </c>
      <c r="I486">
        <f>SUM(Sayfa1!G463:G486)</f>
        <v>0</v>
      </c>
    </row>
    <row r="487" spans="1:9" x14ac:dyDescent="0.3">
      <c r="A487">
        <v>-118.75</v>
      </c>
      <c r="B487">
        <v>34.25</v>
      </c>
      <c r="C487">
        <v>2025</v>
      </c>
      <c r="D487">
        <v>1</v>
      </c>
      <c r="E487">
        <v>21</v>
      </c>
      <c r="F487">
        <f>Sayfa1!C487-273.15</f>
        <v>14.080590820312523</v>
      </c>
      <c r="G487">
        <v>13.158698081970215</v>
      </c>
      <c r="H487">
        <f>SQRT(Sayfa1!D487^2+Sayfa1!E487^2)</f>
        <v>3.2090322148259474</v>
      </c>
      <c r="I487">
        <f>SUM(Sayfa1!G464:G487)</f>
        <v>0</v>
      </c>
    </row>
    <row r="488" spans="1:9" x14ac:dyDescent="0.3">
      <c r="A488">
        <v>-118.75</v>
      </c>
      <c r="B488">
        <v>34.25</v>
      </c>
      <c r="C488">
        <v>2025</v>
      </c>
      <c r="D488">
        <v>1</v>
      </c>
      <c r="E488">
        <v>21</v>
      </c>
      <c r="F488">
        <f>Sayfa1!C488-273.15</f>
        <v>13.275415039062523</v>
      </c>
      <c r="G488">
        <v>12.321610450744629</v>
      </c>
      <c r="H488">
        <f>SQRT(Sayfa1!D488^2+Sayfa1!E488^2)</f>
        <v>3.290003292477234</v>
      </c>
      <c r="I488">
        <f>SUM(Sayfa1!G465:G488)</f>
        <v>0</v>
      </c>
    </row>
    <row r="489" spans="1:9" x14ac:dyDescent="0.3">
      <c r="A489">
        <v>-118.75</v>
      </c>
      <c r="B489">
        <v>34.25</v>
      </c>
      <c r="C489">
        <v>2025</v>
      </c>
      <c r="D489">
        <v>1</v>
      </c>
      <c r="E489">
        <v>21</v>
      </c>
      <c r="F489">
        <f>Sayfa1!C489-273.15</f>
        <v>12.067773437500023</v>
      </c>
      <c r="G489">
        <v>11.743359565734863</v>
      </c>
      <c r="H489">
        <f>SQRT(Sayfa1!D489^2+Sayfa1!E489^2)</f>
        <v>3.2980067844152852</v>
      </c>
      <c r="I489">
        <f>SUM(Sayfa1!G466:G489)</f>
        <v>0</v>
      </c>
    </row>
    <row r="490" spans="1:9" x14ac:dyDescent="0.3">
      <c r="A490">
        <v>-118.75</v>
      </c>
      <c r="B490">
        <v>34.25</v>
      </c>
      <c r="C490">
        <v>2025</v>
      </c>
      <c r="D490">
        <v>1</v>
      </c>
      <c r="E490">
        <v>21</v>
      </c>
      <c r="F490">
        <f>Sayfa1!C490-273.15</f>
        <v>11.341577148437523</v>
      </c>
      <c r="G490">
        <v>12.053400993347168</v>
      </c>
      <c r="H490">
        <f>SQRT(Sayfa1!D490^2+Sayfa1!E490^2)</f>
        <v>3.5578496432559139</v>
      </c>
      <c r="I490">
        <f>SUM(Sayfa1!G467:G490)</f>
        <v>0</v>
      </c>
    </row>
    <row r="491" spans="1:9" x14ac:dyDescent="0.3">
      <c r="A491">
        <v>-118.75</v>
      </c>
      <c r="B491">
        <v>34.25</v>
      </c>
      <c r="C491">
        <v>2025</v>
      </c>
      <c r="D491">
        <v>1</v>
      </c>
      <c r="E491">
        <v>21</v>
      </c>
      <c r="F491">
        <f>Sayfa1!C491-273.15</f>
        <v>10.956689453125023</v>
      </c>
      <c r="G491">
        <v>11.888594627380371</v>
      </c>
      <c r="H491">
        <f>SQRT(Sayfa1!D491^2+Sayfa1!E491^2)</f>
        <v>3.7454853800082812</v>
      </c>
      <c r="I491">
        <f>SUM(Sayfa1!G468:G491)</f>
        <v>0</v>
      </c>
    </row>
    <row r="492" spans="1:9" x14ac:dyDescent="0.3">
      <c r="A492">
        <v>-118.75</v>
      </c>
      <c r="B492">
        <v>34.25</v>
      </c>
      <c r="C492">
        <v>2025</v>
      </c>
      <c r="D492">
        <v>1</v>
      </c>
      <c r="E492">
        <v>21</v>
      </c>
      <c r="F492">
        <f>Sayfa1!C492-273.15</f>
        <v>10.471948242187523</v>
      </c>
      <c r="G492">
        <v>12.149013519287109</v>
      </c>
      <c r="H492">
        <f>SQRT(Sayfa1!D492^2+Sayfa1!E492^2)</f>
        <v>3.4903181875302338</v>
      </c>
      <c r="I492">
        <f>SUM(Sayfa1!G469:G492)</f>
        <v>0</v>
      </c>
    </row>
    <row r="493" spans="1:9" x14ac:dyDescent="0.3">
      <c r="A493">
        <v>-118.75</v>
      </c>
      <c r="B493">
        <v>34.25</v>
      </c>
      <c r="C493">
        <v>2025</v>
      </c>
      <c r="D493">
        <v>1</v>
      </c>
      <c r="E493">
        <v>21</v>
      </c>
      <c r="F493">
        <f>Sayfa1!C493-273.15</f>
        <v>10.126550292968773</v>
      </c>
      <c r="G493">
        <v>14.395157814025879</v>
      </c>
      <c r="H493">
        <f>SQRT(Sayfa1!D493^2+Sayfa1!E493^2)</f>
        <v>3.300120679968177</v>
      </c>
      <c r="I493">
        <f>SUM(Sayfa1!G470:G493)</f>
        <v>0</v>
      </c>
    </row>
    <row r="494" spans="1:9" x14ac:dyDescent="0.3">
      <c r="A494">
        <v>-118.75</v>
      </c>
      <c r="B494">
        <v>34.25</v>
      </c>
      <c r="C494">
        <v>2025</v>
      </c>
      <c r="D494">
        <v>1</v>
      </c>
      <c r="E494">
        <v>21</v>
      </c>
      <c r="F494">
        <f>Sayfa1!C494-273.15</f>
        <v>9.8648925781250227</v>
      </c>
      <c r="G494">
        <v>16.809238433837891</v>
      </c>
      <c r="H494">
        <f>SQRT(Sayfa1!D494^2+Sayfa1!E494^2)</f>
        <v>3.1903101988395726</v>
      </c>
      <c r="I494">
        <f>SUM(Sayfa1!G471:G494)</f>
        <v>0</v>
      </c>
    </row>
    <row r="495" spans="1:9" x14ac:dyDescent="0.3">
      <c r="A495">
        <v>-118.75</v>
      </c>
      <c r="B495">
        <v>34.25</v>
      </c>
      <c r="C495">
        <v>2025</v>
      </c>
      <c r="D495">
        <v>1</v>
      </c>
      <c r="E495">
        <v>21</v>
      </c>
      <c r="F495">
        <f>Sayfa1!C495-273.15</f>
        <v>9.5354248046875227</v>
      </c>
      <c r="G495">
        <v>19.36273193359375</v>
      </c>
      <c r="H495">
        <f>SQRT(Sayfa1!D495^2+Sayfa1!E495^2)</f>
        <v>3.1257249561224527</v>
      </c>
      <c r="I495">
        <f>SUM(Sayfa1!G472:G495)</f>
        <v>0</v>
      </c>
    </row>
    <row r="496" spans="1:9" x14ac:dyDescent="0.3">
      <c r="A496">
        <v>-118.75</v>
      </c>
      <c r="B496">
        <v>34.25</v>
      </c>
      <c r="C496">
        <v>2025</v>
      </c>
      <c r="D496">
        <v>1</v>
      </c>
      <c r="E496">
        <v>21</v>
      </c>
      <c r="F496">
        <f>Sayfa1!C496-273.15</f>
        <v>9.3330322265625227</v>
      </c>
      <c r="G496">
        <v>20.794853210449219</v>
      </c>
      <c r="H496">
        <f>SQRT(Sayfa1!D496^2+Sayfa1!E496^2)</f>
        <v>3.1013017318539307</v>
      </c>
      <c r="I496">
        <f>SUM(Sayfa1!G473:G496)</f>
        <v>0</v>
      </c>
    </row>
    <row r="497" spans="1:9" x14ac:dyDescent="0.3">
      <c r="A497">
        <v>-118.75</v>
      </c>
      <c r="B497">
        <v>34.25</v>
      </c>
      <c r="C497">
        <v>2025</v>
      </c>
      <c r="D497">
        <v>1</v>
      </c>
      <c r="E497">
        <v>21</v>
      </c>
      <c r="F497">
        <f>Sayfa1!C497-273.15</f>
        <v>9.4386230468750227</v>
      </c>
      <c r="G497">
        <v>20.198703765869141</v>
      </c>
      <c r="H497">
        <f>SQRT(Sayfa1!D497^2+Sayfa1!E497^2)</f>
        <v>3.1860601849870012</v>
      </c>
      <c r="I497">
        <f>SUM(Sayfa1!G474:G497)</f>
        <v>0</v>
      </c>
    </row>
    <row r="498" spans="1:9" x14ac:dyDescent="0.3">
      <c r="A498">
        <v>-118.75</v>
      </c>
      <c r="B498">
        <v>34.25</v>
      </c>
      <c r="C498">
        <v>2025</v>
      </c>
      <c r="D498">
        <v>1</v>
      </c>
      <c r="E498">
        <v>21</v>
      </c>
      <c r="F498">
        <f>Sayfa1!C498-273.15</f>
        <v>10.141137695312523</v>
      </c>
      <c r="G498">
        <v>18.521135330200195</v>
      </c>
      <c r="H498">
        <f>SQRT(Sayfa1!D498^2+Sayfa1!E498^2)</f>
        <v>3.1084626773103965</v>
      </c>
      <c r="I498">
        <f>SUM(Sayfa1!G475:G498)</f>
        <v>0</v>
      </c>
    </row>
    <row r="499" spans="1:9" x14ac:dyDescent="0.3">
      <c r="A499">
        <v>-118.75</v>
      </c>
      <c r="B499">
        <v>34.25</v>
      </c>
      <c r="C499">
        <v>2025</v>
      </c>
      <c r="D499">
        <v>1</v>
      </c>
      <c r="E499">
        <v>21</v>
      </c>
      <c r="F499">
        <f>Sayfa1!C499-273.15</f>
        <v>11.995141601562523</v>
      </c>
      <c r="G499">
        <v>13.307425498962402</v>
      </c>
      <c r="H499">
        <f>SQRT(Sayfa1!D499^2+Sayfa1!E499^2)</f>
        <v>2.8974553936801457</v>
      </c>
      <c r="I499">
        <f>SUM(Sayfa1!G476:G499)</f>
        <v>0</v>
      </c>
    </row>
    <row r="500" spans="1:9" x14ac:dyDescent="0.3">
      <c r="A500">
        <v>-118.75</v>
      </c>
      <c r="B500">
        <v>34.25</v>
      </c>
      <c r="C500">
        <v>2025</v>
      </c>
      <c r="D500">
        <v>1</v>
      </c>
      <c r="E500">
        <v>21</v>
      </c>
      <c r="F500">
        <f>Sayfa1!C500-273.15</f>
        <v>14.348657226562523</v>
      </c>
      <c r="G500">
        <v>7.1952581405639648</v>
      </c>
      <c r="H500">
        <f>SQRT(Sayfa1!D500^2+Sayfa1!E500^2)</f>
        <v>3.694709686575099</v>
      </c>
      <c r="I500">
        <f>SUM(Sayfa1!G477:G500)</f>
        <v>0</v>
      </c>
    </row>
    <row r="501" spans="1:9" x14ac:dyDescent="0.3">
      <c r="A501">
        <v>-118.75</v>
      </c>
      <c r="B501">
        <v>34.25</v>
      </c>
      <c r="C501">
        <v>2025</v>
      </c>
      <c r="D501">
        <v>1</v>
      </c>
      <c r="E501">
        <v>21</v>
      </c>
      <c r="F501">
        <f>Sayfa1!C501-273.15</f>
        <v>16.181359863281273</v>
      </c>
      <c r="G501">
        <v>5.7065792083740234</v>
      </c>
      <c r="H501">
        <f>SQRT(Sayfa1!D501^2+Sayfa1!E501^2)</f>
        <v>4.6935047615486285</v>
      </c>
      <c r="I501">
        <f>SUM(Sayfa1!G478:G501)</f>
        <v>0</v>
      </c>
    </row>
    <row r="502" spans="1:9" x14ac:dyDescent="0.3">
      <c r="A502">
        <v>-118.75</v>
      </c>
      <c r="B502">
        <v>34.25</v>
      </c>
      <c r="C502">
        <v>2025</v>
      </c>
      <c r="D502">
        <v>1</v>
      </c>
      <c r="E502">
        <v>21</v>
      </c>
      <c r="F502">
        <f>Sayfa1!C502-273.15</f>
        <v>17.355065917968773</v>
      </c>
      <c r="G502">
        <v>4.7174053192138672</v>
      </c>
      <c r="H502">
        <f>SQRT(Sayfa1!D502^2+Sayfa1!E502^2)</f>
        <v>4.784495783982698</v>
      </c>
      <c r="I502">
        <f>SUM(Sayfa1!G479:G502)</f>
        <v>0</v>
      </c>
    </row>
    <row r="503" spans="1:9" x14ac:dyDescent="0.3">
      <c r="A503">
        <v>-118.75</v>
      </c>
      <c r="B503">
        <v>34.25</v>
      </c>
      <c r="C503">
        <v>2025</v>
      </c>
      <c r="D503">
        <v>1</v>
      </c>
      <c r="E503">
        <v>21</v>
      </c>
      <c r="F503">
        <f>Sayfa1!C503-273.15</f>
        <v>18.295800781250023</v>
      </c>
      <c r="G503">
        <v>4.1244134902954102</v>
      </c>
      <c r="H503">
        <f>SQRT(Sayfa1!D503^2+Sayfa1!E503^2)</f>
        <v>4.4209317249690594</v>
      </c>
      <c r="I503">
        <f>SUM(Sayfa1!G480:G503)</f>
        <v>0</v>
      </c>
    </row>
    <row r="504" spans="1:9" x14ac:dyDescent="0.3">
      <c r="A504">
        <v>-118.75</v>
      </c>
      <c r="B504">
        <v>34.25</v>
      </c>
      <c r="C504">
        <v>2025</v>
      </c>
      <c r="D504">
        <v>1</v>
      </c>
      <c r="E504">
        <v>21</v>
      </c>
      <c r="F504">
        <f>Sayfa1!C504-273.15</f>
        <v>18.278222656250023</v>
      </c>
      <c r="G504">
        <v>5.577296257019043</v>
      </c>
      <c r="H504">
        <f>SQRT(Sayfa1!D504^2+Sayfa1!E504^2)</f>
        <v>4.08486255242972</v>
      </c>
      <c r="I504">
        <f>SUM(Sayfa1!G481:G504)</f>
        <v>0</v>
      </c>
    </row>
    <row r="505" spans="1:9" x14ac:dyDescent="0.3">
      <c r="A505">
        <v>-118.75</v>
      </c>
      <c r="B505">
        <v>34.25</v>
      </c>
      <c r="C505">
        <v>2025</v>
      </c>
      <c r="D505">
        <v>1</v>
      </c>
      <c r="E505">
        <v>21</v>
      </c>
      <c r="F505">
        <f>Sayfa1!C505-273.15</f>
        <v>18.864160156250023</v>
      </c>
      <c r="G505">
        <v>5.3053836822509766</v>
      </c>
      <c r="H505">
        <f>SQRT(Sayfa1!D505^2+Sayfa1!E505^2)</f>
        <v>3.7333247299773795</v>
      </c>
      <c r="I505">
        <f>SUM(Sayfa1!G482:G505)</f>
        <v>0</v>
      </c>
    </row>
    <row r="506" spans="1:9" x14ac:dyDescent="0.3">
      <c r="A506">
        <v>-118.75</v>
      </c>
      <c r="B506">
        <v>34.25</v>
      </c>
      <c r="C506">
        <v>2025</v>
      </c>
      <c r="D506">
        <v>1</v>
      </c>
      <c r="E506">
        <v>22</v>
      </c>
      <c r="F506">
        <f>Sayfa1!C506-273.15</f>
        <v>18.867578125000023</v>
      </c>
      <c r="G506">
        <v>5.7689847946166992</v>
      </c>
      <c r="H506">
        <f>SQRT(Sayfa1!D506^2+Sayfa1!E506^2)</f>
        <v>2.8554323795604386</v>
      </c>
      <c r="I506">
        <f>SUM(Sayfa1!G483:G506)</f>
        <v>0</v>
      </c>
    </row>
    <row r="507" spans="1:9" x14ac:dyDescent="0.3">
      <c r="A507">
        <v>-118.75</v>
      </c>
      <c r="B507">
        <v>34.25</v>
      </c>
      <c r="C507">
        <v>2025</v>
      </c>
      <c r="D507">
        <v>1</v>
      </c>
      <c r="E507">
        <v>22</v>
      </c>
      <c r="F507">
        <f>Sayfa1!C507-273.15</f>
        <v>18.336938476562523</v>
      </c>
      <c r="G507">
        <v>7.0231008529663086</v>
      </c>
      <c r="H507">
        <f>SQRT(Sayfa1!D507^2+Sayfa1!E507^2)</f>
        <v>2.226496244687056</v>
      </c>
      <c r="I507">
        <f>SUM(Sayfa1!G484:G507)</f>
        <v>0</v>
      </c>
    </row>
    <row r="508" spans="1:9" x14ac:dyDescent="0.3">
      <c r="A508">
        <v>-118.75</v>
      </c>
      <c r="B508">
        <v>34.25</v>
      </c>
      <c r="C508">
        <v>2025</v>
      </c>
      <c r="D508">
        <v>1</v>
      </c>
      <c r="E508">
        <v>22</v>
      </c>
      <c r="F508">
        <f>Sayfa1!C508-273.15</f>
        <v>17.788354492187523</v>
      </c>
      <c r="G508">
        <v>7.8065528869628906</v>
      </c>
      <c r="H508">
        <f>SQRT(Sayfa1!D508^2+Sayfa1!E508^2)</f>
        <v>2.1296760646432769</v>
      </c>
      <c r="I508">
        <f>SUM(Sayfa1!G485:G508)</f>
        <v>0</v>
      </c>
    </row>
    <row r="509" spans="1:9" x14ac:dyDescent="0.3">
      <c r="A509">
        <v>-118.75</v>
      </c>
      <c r="B509">
        <v>34.25</v>
      </c>
      <c r="C509">
        <v>2025</v>
      </c>
      <c r="D509">
        <v>1</v>
      </c>
      <c r="E509">
        <v>22</v>
      </c>
      <c r="F509">
        <f>Sayfa1!C509-273.15</f>
        <v>17.462182617187523</v>
      </c>
      <c r="G509">
        <v>8.596217155456543</v>
      </c>
      <c r="H509">
        <f>SQRT(Sayfa1!D509^2+Sayfa1!E509^2)</f>
        <v>2.2258003557569506</v>
      </c>
      <c r="I509">
        <f>SUM(Sayfa1!G486:G509)</f>
        <v>0</v>
      </c>
    </row>
    <row r="510" spans="1:9" x14ac:dyDescent="0.3">
      <c r="A510">
        <v>-118.75</v>
      </c>
      <c r="B510">
        <v>34.25</v>
      </c>
      <c r="C510">
        <v>2025</v>
      </c>
      <c r="D510">
        <v>1</v>
      </c>
      <c r="E510">
        <v>22</v>
      </c>
      <c r="F510">
        <f>Sayfa1!C510-273.15</f>
        <v>17.267968750000023</v>
      </c>
      <c r="G510">
        <v>11.159895896911621</v>
      </c>
      <c r="H510">
        <f>SQRT(Sayfa1!D510^2+Sayfa1!E510^2)</f>
        <v>2.2899519064469462</v>
      </c>
      <c r="I510">
        <f>SUM(Sayfa1!G487:G510)</f>
        <v>0</v>
      </c>
    </row>
    <row r="511" spans="1:9" x14ac:dyDescent="0.3">
      <c r="A511">
        <v>-118.75</v>
      </c>
      <c r="B511">
        <v>34.25</v>
      </c>
      <c r="C511">
        <v>2025</v>
      </c>
      <c r="D511">
        <v>1</v>
      </c>
      <c r="E511">
        <v>22</v>
      </c>
      <c r="F511">
        <f>Sayfa1!C511-273.15</f>
        <v>17.103784179687523</v>
      </c>
      <c r="G511">
        <v>14.984611511230469</v>
      </c>
      <c r="H511">
        <f>SQRT(Sayfa1!D511^2+Sayfa1!E511^2)</f>
        <v>2.4174849771250719</v>
      </c>
      <c r="I511">
        <f>SUM(Sayfa1!G488:G511)</f>
        <v>0</v>
      </c>
    </row>
    <row r="512" spans="1:9" x14ac:dyDescent="0.3">
      <c r="A512">
        <v>-118.75</v>
      </c>
      <c r="B512">
        <v>34.25</v>
      </c>
      <c r="C512">
        <v>2025</v>
      </c>
      <c r="D512">
        <v>1</v>
      </c>
      <c r="E512">
        <v>22</v>
      </c>
      <c r="F512">
        <f>Sayfa1!C512-273.15</f>
        <v>16.997338867187523</v>
      </c>
      <c r="G512">
        <v>16.864421844482422</v>
      </c>
      <c r="H512">
        <f>SQRT(Sayfa1!D512^2+Sayfa1!E512^2)</f>
        <v>2.5721993259037261</v>
      </c>
      <c r="I512">
        <f>SUM(Sayfa1!G489:G512)</f>
        <v>0</v>
      </c>
    </row>
    <row r="513" spans="1:9" x14ac:dyDescent="0.3">
      <c r="A513">
        <v>-118.75</v>
      </c>
      <c r="B513">
        <v>34.25</v>
      </c>
      <c r="C513">
        <v>2025</v>
      </c>
      <c r="D513">
        <v>1</v>
      </c>
      <c r="E513">
        <v>22</v>
      </c>
      <c r="F513">
        <f>Sayfa1!C513-273.15</f>
        <v>16.954248046875023</v>
      </c>
      <c r="G513">
        <v>18.214580535888672</v>
      </c>
      <c r="H513">
        <f>SQRT(Sayfa1!D513^2+Sayfa1!E513^2)</f>
        <v>2.6678068537238739</v>
      </c>
      <c r="I513">
        <f>SUM(Sayfa1!G490:G513)</f>
        <v>0</v>
      </c>
    </row>
    <row r="514" spans="1:9" x14ac:dyDescent="0.3">
      <c r="A514">
        <v>-118.75</v>
      </c>
      <c r="B514">
        <v>34.25</v>
      </c>
      <c r="C514">
        <v>2025</v>
      </c>
      <c r="D514">
        <v>1</v>
      </c>
      <c r="E514">
        <v>22</v>
      </c>
      <c r="F514">
        <f>Sayfa1!C514-273.15</f>
        <v>16.964685058593773</v>
      </c>
      <c r="G514">
        <v>19.789772033691406</v>
      </c>
      <c r="H514">
        <f>SQRT(Sayfa1!D514^2+Sayfa1!E514^2)</f>
        <v>2.7456699291605169</v>
      </c>
      <c r="I514">
        <f>SUM(Sayfa1!G491:G514)</f>
        <v>0</v>
      </c>
    </row>
    <row r="515" spans="1:9" x14ac:dyDescent="0.3">
      <c r="A515">
        <v>-118.75</v>
      </c>
      <c r="B515">
        <v>34.25</v>
      </c>
      <c r="C515">
        <v>2025</v>
      </c>
      <c r="D515">
        <v>1</v>
      </c>
      <c r="E515">
        <v>22</v>
      </c>
      <c r="F515">
        <f>Sayfa1!C515-273.15</f>
        <v>17.023767089843773</v>
      </c>
      <c r="G515">
        <v>21.440713882446289</v>
      </c>
      <c r="H515">
        <f>SQRT(Sayfa1!D515^2+Sayfa1!E515^2)</f>
        <v>2.8054534421526118</v>
      </c>
      <c r="I515">
        <f>SUM(Sayfa1!G492:G515)</f>
        <v>0</v>
      </c>
    </row>
    <row r="516" spans="1:9" x14ac:dyDescent="0.3">
      <c r="A516">
        <v>-118.75</v>
      </c>
      <c r="B516">
        <v>34.25</v>
      </c>
      <c r="C516">
        <v>2025</v>
      </c>
      <c r="D516">
        <v>1</v>
      </c>
      <c r="E516">
        <v>22</v>
      </c>
      <c r="F516">
        <f>Sayfa1!C516-273.15</f>
        <v>16.962548828125023</v>
      </c>
      <c r="G516">
        <v>21.454563140869141</v>
      </c>
      <c r="H516">
        <f>SQRT(Sayfa1!D516^2+Sayfa1!E516^2)</f>
        <v>3.1243002138566873</v>
      </c>
      <c r="I516">
        <f>SUM(Sayfa1!G493:G516)</f>
        <v>0</v>
      </c>
    </row>
    <row r="517" spans="1:9" x14ac:dyDescent="0.3">
      <c r="A517">
        <v>-118.75</v>
      </c>
      <c r="B517">
        <v>34.25</v>
      </c>
      <c r="C517">
        <v>2025</v>
      </c>
      <c r="D517">
        <v>1</v>
      </c>
      <c r="E517">
        <v>22</v>
      </c>
      <c r="F517">
        <f>Sayfa1!C517-273.15</f>
        <v>17.234521484375023</v>
      </c>
      <c r="G517">
        <v>24.413528442382813</v>
      </c>
      <c r="H517">
        <f>SQRT(Sayfa1!D517^2+Sayfa1!E517^2)</f>
        <v>3.0190333799351499</v>
      </c>
      <c r="I517">
        <f>SUM(Sayfa1!G494:G517)</f>
        <v>0</v>
      </c>
    </row>
    <row r="518" spans="1:9" x14ac:dyDescent="0.3">
      <c r="A518">
        <v>-118.75</v>
      </c>
      <c r="B518">
        <v>34.25</v>
      </c>
      <c r="C518">
        <v>2025</v>
      </c>
      <c r="D518">
        <v>1</v>
      </c>
      <c r="E518">
        <v>22</v>
      </c>
      <c r="F518">
        <f>Sayfa1!C518-273.15</f>
        <v>17.529809570312523</v>
      </c>
      <c r="G518">
        <v>26.058910369873047</v>
      </c>
      <c r="H518">
        <f>SQRT(Sayfa1!D518^2+Sayfa1!E518^2)</f>
        <v>2.9558022271635753</v>
      </c>
      <c r="I518">
        <f>SUM(Sayfa1!G495:G518)</f>
        <v>0</v>
      </c>
    </row>
    <row r="519" spans="1:9" x14ac:dyDescent="0.3">
      <c r="A519">
        <v>-118.75</v>
      </c>
      <c r="B519">
        <v>34.25</v>
      </c>
      <c r="C519">
        <v>2025</v>
      </c>
      <c r="D519">
        <v>1</v>
      </c>
      <c r="E519">
        <v>22</v>
      </c>
      <c r="F519">
        <f>Sayfa1!C519-273.15</f>
        <v>17.674340820312523</v>
      </c>
      <c r="G519">
        <v>27.559619903564453</v>
      </c>
      <c r="H519">
        <f>SQRT(Sayfa1!D519^2+Sayfa1!E519^2)</f>
        <v>2.9844187618540339</v>
      </c>
      <c r="I519">
        <f>SUM(Sayfa1!G496:G519)</f>
        <v>0</v>
      </c>
    </row>
    <row r="520" spans="1:9" x14ac:dyDescent="0.3">
      <c r="A520">
        <v>-118.75</v>
      </c>
      <c r="B520">
        <v>34.25</v>
      </c>
      <c r="C520">
        <v>2025</v>
      </c>
      <c r="D520">
        <v>1</v>
      </c>
      <c r="E520">
        <v>22</v>
      </c>
      <c r="F520">
        <f>Sayfa1!C520-273.15</f>
        <v>17.711206054687523</v>
      </c>
      <c r="G520">
        <v>28.951187133789063</v>
      </c>
      <c r="H520">
        <f>SQRT(Sayfa1!D520^2+Sayfa1!E520^2)</f>
        <v>2.9388858568196587</v>
      </c>
      <c r="I520">
        <f>SUM(Sayfa1!G497:G520)</f>
        <v>0</v>
      </c>
    </row>
    <row r="521" spans="1:9" x14ac:dyDescent="0.3">
      <c r="A521">
        <v>-118.75</v>
      </c>
      <c r="B521">
        <v>34.25</v>
      </c>
      <c r="C521">
        <v>2025</v>
      </c>
      <c r="D521">
        <v>1</v>
      </c>
      <c r="E521">
        <v>22</v>
      </c>
      <c r="F521">
        <f>Sayfa1!C521-273.15</f>
        <v>17.737695312500023</v>
      </c>
      <c r="G521">
        <v>30.2127685546875</v>
      </c>
      <c r="H521">
        <f>SQRT(Sayfa1!D521^2+Sayfa1!E521^2)</f>
        <v>3.0061656363351701</v>
      </c>
      <c r="I521">
        <f>SUM(Sayfa1!G498:G521)</f>
        <v>0</v>
      </c>
    </row>
    <row r="522" spans="1:9" x14ac:dyDescent="0.3">
      <c r="A522">
        <v>-118.75</v>
      </c>
      <c r="B522">
        <v>34.25</v>
      </c>
      <c r="C522">
        <v>2025</v>
      </c>
      <c r="D522">
        <v>1</v>
      </c>
      <c r="E522">
        <v>22</v>
      </c>
      <c r="F522">
        <f>Sayfa1!C522-273.15</f>
        <v>17.917932128906273</v>
      </c>
      <c r="G522">
        <v>29.692508697509766</v>
      </c>
      <c r="H522">
        <f>SQRT(Sayfa1!D522^2+Sayfa1!E522^2)</f>
        <v>2.8903041086785652</v>
      </c>
      <c r="I522">
        <f>SUM(Sayfa1!G499:G522)</f>
        <v>0</v>
      </c>
    </row>
    <row r="523" spans="1:9" x14ac:dyDescent="0.3">
      <c r="A523">
        <v>-118.75</v>
      </c>
      <c r="B523">
        <v>34.25</v>
      </c>
      <c r="C523">
        <v>2025</v>
      </c>
      <c r="D523">
        <v>1</v>
      </c>
      <c r="E523">
        <v>22</v>
      </c>
      <c r="F523">
        <f>Sayfa1!C523-273.15</f>
        <v>18.306054687500023</v>
      </c>
      <c r="G523">
        <v>24.596477508544922</v>
      </c>
      <c r="H523">
        <f>SQRT(Sayfa1!D523^2+Sayfa1!E523^2)</f>
        <v>2.6048403195449592</v>
      </c>
      <c r="I523">
        <f>SUM(Sayfa1!G500:G523)</f>
        <v>0</v>
      </c>
    </row>
    <row r="524" spans="1:9" x14ac:dyDescent="0.3">
      <c r="A524">
        <v>-118.75</v>
      </c>
      <c r="B524">
        <v>34.25</v>
      </c>
      <c r="C524">
        <v>2025</v>
      </c>
      <c r="D524">
        <v>1</v>
      </c>
      <c r="E524">
        <v>22</v>
      </c>
      <c r="F524">
        <f>Sayfa1!C524-273.15</f>
        <v>18.614343261718773</v>
      </c>
      <c r="G524">
        <v>17.555007934570313</v>
      </c>
      <c r="H524">
        <f>SQRT(Sayfa1!D524^2+Sayfa1!E524^2)</f>
        <v>2.5980029656785959</v>
      </c>
      <c r="I524">
        <f>SUM(Sayfa1!G501:G524)</f>
        <v>0</v>
      </c>
    </row>
    <row r="525" spans="1:9" x14ac:dyDescent="0.3">
      <c r="A525">
        <v>-118.75</v>
      </c>
      <c r="B525">
        <v>34.25</v>
      </c>
      <c r="C525">
        <v>2025</v>
      </c>
      <c r="D525">
        <v>1</v>
      </c>
      <c r="E525">
        <v>22</v>
      </c>
      <c r="F525">
        <f>Sayfa1!C525-273.15</f>
        <v>20.317529296875023</v>
      </c>
      <c r="G525">
        <v>11.024547576904297</v>
      </c>
      <c r="H525">
        <f>SQRT(Sayfa1!D525^2+Sayfa1!E525^2)</f>
        <v>2.8342831196282683</v>
      </c>
      <c r="I525">
        <f>SUM(Sayfa1!G502:G525)</f>
        <v>0</v>
      </c>
    </row>
    <row r="526" spans="1:9" x14ac:dyDescent="0.3">
      <c r="A526">
        <v>-118.75</v>
      </c>
      <c r="B526">
        <v>34.25</v>
      </c>
      <c r="C526">
        <v>2025</v>
      </c>
      <c r="D526">
        <v>1</v>
      </c>
      <c r="E526">
        <v>22</v>
      </c>
      <c r="F526">
        <f>Sayfa1!C526-273.15</f>
        <v>21.736413574218773</v>
      </c>
      <c r="G526">
        <v>7.5496654510498047</v>
      </c>
      <c r="H526">
        <f>SQRT(Sayfa1!D526^2+Sayfa1!E526^2)</f>
        <v>4.130758200526957</v>
      </c>
      <c r="I526">
        <f>SUM(Sayfa1!G503:G526)</f>
        <v>0</v>
      </c>
    </row>
    <row r="527" spans="1:9" x14ac:dyDescent="0.3">
      <c r="A527">
        <v>-118.75</v>
      </c>
      <c r="B527">
        <v>34.25</v>
      </c>
      <c r="C527">
        <v>2025</v>
      </c>
      <c r="D527">
        <v>1</v>
      </c>
      <c r="E527">
        <v>22</v>
      </c>
      <c r="F527">
        <f>Sayfa1!C527-273.15</f>
        <v>22.632836914062523</v>
      </c>
      <c r="G527">
        <v>5.6307163238525391</v>
      </c>
      <c r="H527">
        <f>SQRT(Sayfa1!D527^2+Sayfa1!E527^2)</f>
        <v>4.5409533713800885</v>
      </c>
      <c r="I527">
        <f>SUM(Sayfa1!G504:G527)</f>
        <v>0</v>
      </c>
    </row>
    <row r="528" spans="1:9" x14ac:dyDescent="0.3">
      <c r="A528">
        <v>-118.75</v>
      </c>
      <c r="B528">
        <v>34.25</v>
      </c>
      <c r="C528">
        <v>2025</v>
      </c>
      <c r="D528">
        <v>1</v>
      </c>
      <c r="E528">
        <v>22</v>
      </c>
      <c r="F528">
        <f>Sayfa1!C528-273.15</f>
        <v>23.619409179687523</v>
      </c>
      <c r="G528">
        <v>5.2647123336791992</v>
      </c>
      <c r="H528">
        <f>SQRT(Sayfa1!D528^2+Sayfa1!E528^2)</f>
        <v>3.7536869612700721</v>
      </c>
      <c r="I528">
        <f>SUM(Sayfa1!G505:G528)</f>
        <v>0</v>
      </c>
    </row>
    <row r="529" spans="1:9" x14ac:dyDescent="0.3">
      <c r="A529">
        <v>-118.75</v>
      </c>
      <c r="B529">
        <v>34.25</v>
      </c>
      <c r="C529">
        <v>2025</v>
      </c>
      <c r="D529">
        <v>1</v>
      </c>
      <c r="E529">
        <v>22</v>
      </c>
      <c r="F529">
        <f>Sayfa1!C529-273.15</f>
        <v>23.882470703125023</v>
      </c>
      <c r="G529">
        <v>5.3492822647094727</v>
      </c>
      <c r="H529">
        <f>SQRT(Sayfa1!D529^2+Sayfa1!E529^2)</f>
        <v>3.4642609051735067</v>
      </c>
      <c r="I529">
        <f>SUM(Sayfa1!G506:G529)</f>
        <v>0</v>
      </c>
    </row>
    <row r="530" spans="1:9" x14ac:dyDescent="0.3">
      <c r="A530">
        <v>-118.75</v>
      </c>
      <c r="B530">
        <v>34.25</v>
      </c>
      <c r="C530">
        <v>2025</v>
      </c>
      <c r="D530">
        <v>1</v>
      </c>
      <c r="E530">
        <v>23</v>
      </c>
      <c r="F530">
        <f>Sayfa1!C530-273.15</f>
        <v>23.693505859375023</v>
      </c>
      <c r="G530">
        <v>5.5513505935668945</v>
      </c>
      <c r="H530">
        <f>SQRT(Sayfa1!D530^2+Sayfa1!E530^2)</f>
        <v>3.1923807933076906</v>
      </c>
      <c r="I530">
        <f>SUM(Sayfa1!G507:G530)</f>
        <v>0</v>
      </c>
    </row>
    <row r="531" spans="1:9" x14ac:dyDescent="0.3">
      <c r="A531">
        <v>-118.75</v>
      </c>
      <c r="B531">
        <v>34.25</v>
      </c>
      <c r="C531">
        <v>2025</v>
      </c>
      <c r="D531">
        <v>1</v>
      </c>
      <c r="E531">
        <v>23</v>
      </c>
      <c r="F531">
        <f>Sayfa1!C531-273.15</f>
        <v>23.227929687500023</v>
      </c>
      <c r="G531">
        <v>5.5463571548461914</v>
      </c>
      <c r="H531">
        <f>SQRT(Sayfa1!D531^2+Sayfa1!E531^2)</f>
        <v>2.8051562049205883</v>
      </c>
      <c r="I531">
        <f>SUM(Sayfa1!G508:G531)</f>
        <v>0</v>
      </c>
    </row>
    <row r="532" spans="1:9" x14ac:dyDescent="0.3">
      <c r="A532">
        <v>-118.75</v>
      </c>
      <c r="B532">
        <v>34.25</v>
      </c>
      <c r="C532">
        <v>2025</v>
      </c>
      <c r="D532">
        <v>1</v>
      </c>
      <c r="E532">
        <v>23</v>
      </c>
      <c r="F532">
        <f>Sayfa1!C532-273.15</f>
        <v>22.700952148437523</v>
      </c>
      <c r="G532">
        <v>5.1883907318115234</v>
      </c>
      <c r="H532">
        <f>SQRT(Sayfa1!D532^2+Sayfa1!E532^2)</f>
        <v>2.7919963805449717</v>
      </c>
      <c r="I532">
        <f>SUM(Sayfa1!G509:G532)</f>
        <v>0</v>
      </c>
    </row>
    <row r="533" spans="1:9" x14ac:dyDescent="0.3">
      <c r="A533">
        <v>-118.75</v>
      </c>
      <c r="B533">
        <v>34.25</v>
      </c>
      <c r="C533">
        <v>2025</v>
      </c>
      <c r="D533">
        <v>1</v>
      </c>
      <c r="E533">
        <v>23</v>
      </c>
      <c r="F533">
        <f>Sayfa1!C533-273.15</f>
        <v>22.268579101562523</v>
      </c>
      <c r="G533">
        <v>5.6420440673828125</v>
      </c>
      <c r="H533">
        <f>SQRT(Sayfa1!D533^2+Sayfa1!E533^2)</f>
        <v>2.8323402031140765</v>
      </c>
      <c r="I533">
        <f>SUM(Sayfa1!G510:G533)</f>
        <v>0</v>
      </c>
    </row>
    <row r="534" spans="1:9" x14ac:dyDescent="0.3">
      <c r="A534">
        <v>-118.75</v>
      </c>
      <c r="B534">
        <v>34.25</v>
      </c>
      <c r="C534">
        <v>2025</v>
      </c>
      <c r="D534">
        <v>1</v>
      </c>
      <c r="E534">
        <v>23</v>
      </c>
      <c r="F534">
        <f>Sayfa1!C534-273.15</f>
        <v>22.018273925781273</v>
      </c>
      <c r="G534">
        <v>6.8289785385131836</v>
      </c>
      <c r="H534">
        <f>SQRT(Sayfa1!D534^2+Sayfa1!E534^2)</f>
        <v>2.8702164141939557</v>
      </c>
      <c r="I534">
        <f>SUM(Sayfa1!G511:G534)</f>
        <v>0</v>
      </c>
    </row>
    <row r="535" spans="1:9" x14ac:dyDescent="0.3">
      <c r="A535">
        <v>-118.75</v>
      </c>
      <c r="B535">
        <v>34.25</v>
      </c>
      <c r="C535">
        <v>2025</v>
      </c>
      <c r="D535">
        <v>1</v>
      </c>
      <c r="E535">
        <v>23</v>
      </c>
      <c r="F535">
        <f>Sayfa1!C535-273.15</f>
        <v>21.914025878906273</v>
      </c>
      <c r="G535">
        <v>9.665410041809082</v>
      </c>
      <c r="H535">
        <f>SQRT(Sayfa1!D535^2+Sayfa1!E535^2)</f>
        <v>2.8679886377230082</v>
      </c>
      <c r="I535">
        <f>SUM(Sayfa1!G512:G535)</f>
        <v>0</v>
      </c>
    </row>
    <row r="536" spans="1:9" x14ac:dyDescent="0.3">
      <c r="A536">
        <v>-118.75</v>
      </c>
      <c r="B536">
        <v>34.25</v>
      </c>
      <c r="C536">
        <v>2025</v>
      </c>
      <c r="D536">
        <v>1</v>
      </c>
      <c r="E536">
        <v>23</v>
      </c>
      <c r="F536">
        <f>Sayfa1!C536-273.15</f>
        <v>21.879663085937523</v>
      </c>
      <c r="G536">
        <v>12.663745880126953</v>
      </c>
      <c r="H536">
        <f>SQRT(Sayfa1!D536^2+Sayfa1!E536^2)</f>
        <v>2.8996478264682324</v>
      </c>
      <c r="I536">
        <f>SUM(Sayfa1!G513:G536)</f>
        <v>0</v>
      </c>
    </row>
    <row r="537" spans="1:9" x14ac:dyDescent="0.3">
      <c r="A537">
        <v>-118.75</v>
      </c>
      <c r="B537">
        <v>34.25</v>
      </c>
      <c r="C537">
        <v>2025</v>
      </c>
      <c r="D537">
        <v>1</v>
      </c>
      <c r="E537">
        <v>23</v>
      </c>
      <c r="F537">
        <f>Sayfa1!C537-273.15</f>
        <v>21.839196777343773</v>
      </c>
      <c r="G537">
        <v>13.510480880737305</v>
      </c>
      <c r="H537">
        <f>SQRT(Sayfa1!D537^2+Sayfa1!E537^2)</f>
        <v>2.9722890848396943</v>
      </c>
      <c r="I537">
        <f>SUM(Sayfa1!G514:G537)</f>
        <v>0</v>
      </c>
    </row>
    <row r="538" spans="1:9" x14ac:dyDescent="0.3">
      <c r="A538">
        <v>-118.75</v>
      </c>
      <c r="B538">
        <v>34.25</v>
      </c>
      <c r="C538">
        <v>2025</v>
      </c>
      <c r="D538">
        <v>1</v>
      </c>
      <c r="E538">
        <v>23</v>
      </c>
      <c r="F538">
        <f>Sayfa1!C538-273.15</f>
        <v>21.631799316406273</v>
      </c>
      <c r="G538">
        <v>12.825604438781738</v>
      </c>
      <c r="H538">
        <f>SQRT(Sayfa1!D538^2+Sayfa1!E538^2)</f>
        <v>3.1166980367793049</v>
      </c>
      <c r="I538">
        <f>SUM(Sayfa1!G515:G538)</f>
        <v>0</v>
      </c>
    </row>
    <row r="539" spans="1:9" x14ac:dyDescent="0.3">
      <c r="A539">
        <v>-118.75</v>
      </c>
      <c r="B539">
        <v>34.25</v>
      </c>
      <c r="C539">
        <v>2025</v>
      </c>
      <c r="D539">
        <v>1</v>
      </c>
      <c r="E539">
        <v>23</v>
      </c>
      <c r="F539">
        <f>Sayfa1!C539-273.15</f>
        <v>21.168115234375023</v>
      </c>
      <c r="G539">
        <v>11.633807182312012</v>
      </c>
      <c r="H539">
        <f>SQRT(Sayfa1!D539^2+Sayfa1!E539^2)</f>
        <v>3.2362617539179688</v>
      </c>
      <c r="I539">
        <f>SUM(Sayfa1!G516:G539)</f>
        <v>0</v>
      </c>
    </row>
    <row r="540" spans="1:9" x14ac:dyDescent="0.3">
      <c r="A540">
        <v>-118.75</v>
      </c>
      <c r="B540">
        <v>34.25</v>
      </c>
      <c r="C540">
        <v>2025</v>
      </c>
      <c r="D540">
        <v>1</v>
      </c>
      <c r="E540">
        <v>23</v>
      </c>
      <c r="F540">
        <f>Sayfa1!C540-273.15</f>
        <v>20.761682128906273</v>
      </c>
      <c r="G540">
        <v>11.386760711669922</v>
      </c>
      <c r="H540">
        <f>SQRT(Sayfa1!D540^2+Sayfa1!E540^2)</f>
        <v>2.9306326674273659</v>
      </c>
      <c r="I540">
        <f>SUM(Sayfa1!G517:G540)</f>
        <v>0</v>
      </c>
    </row>
    <row r="541" spans="1:9" x14ac:dyDescent="0.3">
      <c r="A541">
        <v>-118.75</v>
      </c>
      <c r="B541">
        <v>34.25</v>
      </c>
      <c r="C541">
        <v>2025</v>
      </c>
      <c r="D541">
        <v>1</v>
      </c>
      <c r="E541">
        <v>23</v>
      </c>
      <c r="F541">
        <f>Sayfa1!C541-273.15</f>
        <v>20.459069824218773</v>
      </c>
      <c r="G541">
        <v>11.644062042236328</v>
      </c>
      <c r="H541">
        <f>SQRT(Sayfa1!D541^2+Sayfa1!E541^2)</f>
        <v>2.9493054210641034</v>
      </c>
      <c r="I541">
        <f>SUM(Sayfa1!G518:G541)</f>
        <v>0</v>
      </c>
    </row>
    <row r="542" spans="1:9" x14ac:dyDescent="0.3">
      <c r="A542">
        <v>-118.75</v>
      </c>
      <c r="B542">
        <v>34.25</v>
      </c>
      <c r="C542">
        <v>2025</v>
      </c>
      <c r="D542">
        <v>1</v>
      </c>
      <c r="E542">
        <v>23</v>
      </c>
      <c r="F542">
        <f>Sayfa1!C542-273.15</f>
        <v>20.168237304687523</v>
      </c>
      <c r="G542">
        <v>10.841813087463379</v>
      </c>
      <c r="H542">
        <f>SQRT(Sayfa1!D542^2+Sayfa1!E542^2)</f>
        <v>3.0947966030897516</v>
      </c>
      <c r="I542">
        <f>SUM(Sayfa1!G519:G542)</f>
        <v>0</v>
      </c>
    </row>
    <row r="543" spans="1:9" x14ac:dyDescent="0.3">
      <c r="A543">
        <v>-118.75</v>
      </c>
      <c r="B543">
        <v>34.25</v>
      </c>
      <c r="C543">
        <v>2025</v>
      </c>
      <c r="D543">
        <v>1</v>
      </c>
      <c r="E543">
        <v>23</v>
      </c>
      <c r="F543">
        <f>Sayfa1!C543-273.15</f>
        <v>20.192529296875023</v>
      </c>
      <c r="G543">
        <v>11.553081512451172</v>
      </c>
      <c r="H543">
        <f>SQRT(Sayfa1!D543^2+Sayfa1!E543^2)</f>
        <v>3.0742182100364013</v>
      </c>
      <c r="I543">
        <f>SUM(Sayfa1!G520:G543)</f>
        <v>0</v>
      </c>
    </row>
    <row r="544" spans="1:9" x14ac:dyDescent="0.3">
      <c r="A544">
        <v>-118.75</v>
      </c>
      <c r="B544">
        <v>34.25</v>
      </c>
      <c r="C544">
        <v>2025</v>
      </c>
      <c r="D544">
        <v>1</v>
      </c>
      <c r="E544">
        <v>23</v>
      </c>
      <c r="F544">
        <f>Sayfa1!C544-273.15</f>
        <v>20.293969726562523</v>
      </c>
      <c r="G544">
        <v>12.592935562133789</v>
      </c>
      <c r="H544">
        <f>SQRT(Sayfa1!D544^2+Sayfa1!E544^2)</f>
        <v>3.0861796677158142</v>
      </c>
      <c r="I544">
        <f>SUM(Sayfa1!G521:G544)</f>
        <v>0</v>
      </c>
    </row>
    <row r="545" spans="1:9" x14ac:dyDescent="0.3">
      <c r="A545">
        <v>-118.75</v>
      </c>
      <c r="B545">
        <v>34.25</v>
      </c>
      <c r="C545">
        <v>2025</v>
      </c>
      <c r="D545">
        <v>1</v>
      </c>
      <c r="E545">
        <v>23</v>
      </c>
      <c r="F545">
        <f>Sayfa1!C545-273.15</f>
        <v>20.071679687500023</v>
      </c>
      <c r="G545">
        <v>12.83849048614502</v>
      </c>
      <c r="H545">
        <f>SQRT(Sayfa1!D545^2+Sayfa1!E545^2)</f>
        <v>3.2654092885500017</v>
      </c>
      <c r="I545">
        <f>SUM(Sayfa1!G522:G545)</f>
        <v>0</v>
      </c>
    </row>
    <row r="546" spans="1:9" x14ac:dyDescent="0.3">
      <c r="A546">
        <v>-118.75</v>
      </c>
      <c r="B546">
        <v>34.25</v>
      </c>
      <c r="C546">
        <v>2025</v>
      </c>
      <c r="D546">
        <v>1</v>
      </c>
      <c r="E546">
        <v>23</v>
      </c>
      <c r="F546">
        <f>Sayfa1!C546-273.15</f>
        <v>19.374536132812523</v>
      </c>
      <c r="G546">
        <v>11.970818519592285</v>
      </c>
      <c r="H546">
        <f>SQRT(Sayfa1!D546^2+Sayfa1!E546^2)</f>
        <v>3.1533323060614213</v>
      </c>
      <c r="I546">
        <f>SUM(Sayfa1!G523:G546)</f>
        <v>0</v>
      </c>
    </row>
    <row r="547" spans="1:9" x14ac:dyDescent="0.3">
      <c r="A547">
        <v>-118.75</v>
      </c>
      <c r="B547">
        <v>34.25</v>
      </c>
      <c r="C547">
        <v>2025</v>
      </c>
      <c r="D547">
        <v>1</v>
      </c>
      <c r="E547">
        <v>23</v>
      </c>
      <c r="F547">
        <f>Sayfa1!C547-273.15</f>
        <v>18.771020507812523</v>
      </c>
      <c r="G547">
        <v>8.8020095825195313</v>
      </c>
      <c r="H547">
        <f>SQRT(Sayfa1!D547^2+Sayfa1!E547^2)</f>
        <v>2.9136804966380927</v>
      </c>
      <c r="I547">
        <f>SUM(Sayfa1!G524:G547)</f>
        <v>0</v>
      </c>
    </row>
    <row r="548" spans="1:9" x14ac:dyDescent="0.3">
      <c r="A548">
        <v>-118.75</v>
      </c>
      <c r="B548">
        <v>34.25</v>
      </c>
      <c r="C548">
        <v>2025</v>
      </c>
      <c r="D548">
        <v>1</v>
      </c>
      <c r="E548">
        <v>23</v>
      </c>
      <c r="F548">
        <f>Sayfa1!C548-273.15</f>
        <v>19.339074707031273</v>
      </c>
      <c r="G548">
        <v>5.8145828247070313</v>
      </c>
      <c r="H548">
        <f>SQRT(Sayfa1!D548^2+Sayfa1!E548^2)</f>
        <v>4.2908248253948402</v>
      </c>
      <c r="I548">
        <f>SUM(Sayfa1!G525:G548)</f>
        <v>0</v>
      </c>
    </row>
    <row r="549" spans="1:9" x14ac:dyDescent="0.3">
      <c r="A549">
        <v>-118.75</v>
      </c>
      <c r="B549">
        <v>34.25</v>
      </c>
      <c r="C549">
        <v>2025</v>
      </c>
      <c r="D549">
        <v>1</v>
      </c>
      <c r="E549">
        <v>23</v>
      </c>
      <c r="F549">
        <f>Sayfa1!C549-273.15</f>
        <v>20.346093750000023</v>
      </c>
      <c r="G549">
        <v>5.3663864135742188</v>
      </c>
      <c r="H549">
        <f>SQRT(Sayfa1!D549^2+Sayfa1!E549^2)</f>
        <v>5.6724927058029913</v>
      </c>
      <c r="I549">
        <f>SUM(Sayfa1!G526:G549)</f>
        <v>0</v>
      </c>
    </row>
    <row r="550" spans="1:9" x14ac:dyDescent="0.3">
      <c r="A550">
        <v>-118.75</v>
      </c>
      <c r="B550">
        <v>34.25</v>
      </c>
      <c r="C550">
        <v>2025</v>
      </c>
      <c r="D550">
        <v>1</v>
      </c>
      <c r="E550">
        <v>23</v>
      </c>
      <c r="F550">
        <f>Sayfa1!C550-273.15</f>
        <v>20.894677734375023</v>
      </c>
      <c r="G550">
        <v>4.6958227157592773</v>
      </c>
      <c r="H550">
        <f>SQRT(Sayfa1!D550^2+Sayfa1!E550^2)</f>
        <v>6.0769423577901138</v>
      </c>
      <c r="I550">
        <f>SUM(Sayfa1!G527:G550)</f>
        <v>0</v>
      </c>
    </row>
    <row r="551" spans="1:9" x14ac:dyDescent="0.3">
      <c r="A551">
        <v>-118.75</v>
      </c>
      <c r="B551">
        <v>34.25</v>
      </c>
      <c r="C551">
        <v>2025</v>
      </c>
      <c r="D551">
        <v>1</v>
      </c>
      <c r="E551">
        <v>23</v>
      </c>
      <c r="F551">
        <f>Sayfa1!C551-273.15</f>
        <v>21.322900390625023</v>
      </c>
      <c r="G551">
        <v>4.587651252746582</v>
      </c>
      <c r="H551">
        <f>SQRT(Sayfa1!D551^2+Sayfa1!E551^2)</f>
        <v>6.0608042677266738</v>
      </c>
      <c r="I551">
        <f>SUM(Sayfa1!G528:G551)</f>
        <v>0</v>
      </c>
    </row>
    <row r="552" spans="1:9" x14ac:dyDescent="0.3">
      <c r="A552">
        <v>-118.75</v>
      </c>
      <c r="B552">
        <v>34.25</v>
      </c>
      <c r="C552">
        <v>2025</v>
      </c>
      <c r="D552">
        <v>1</v>
      </c>
      <c r="E552">
        <v>23</v>
      </c>
      <c r="F552">
        <f>Sayfa1!C552-273.15</f>
        <v>22.152978515625023</v>
      </c>
      <c r="G552">
        <v>4.9710636138916016</v>
      </c>
      <c r="H552">
        <f>SQRT(Sayfa1!D552^2+Sayfa1!E552^2)</f>
        <v>4.7576716789086539</v>
      </c>
      <c r="I552">
        <f>SUM(Sayfa1!G529:G552)</f>
        <v>0</v>
      </c>
    </row>
    <row r="553" spans="1:9" x14ac:dyDescent="0.3">
      <c r="A553">
        <v>-118.75</v>
      </c>
      <c r="B553">
        <v>34.25</v>
      </c>
      <c r="C553">
        <v>2025</v>
      </c>
      <c r="D553">
        <v>1</v>
      </c>
      <c r="E553">
        <v>23</v>
      </c>
      <c r="F553">
        <f>Sayfa1!C553-273.15</f>
        <v>22.256494140625023</v>
      </c>
      <c r="G553">
        <v>5.0581750869750977</v>
      </c>
      <c r="H553">
        <f>SQRT(Sayfa1!D553^2+Sayfa1!E553^2)</f>
        <v>4.4450679555549044</v>
      </c>
      <c r="I553">
        <f>SUM(Sayfa1!G530:G553)</f>
        <v>0</v>
      </c>
    </row>
    <row r="554" spans="1:9" x14ac:dyDescent="0.3">
      <c r="A554">
        <v>-118.75</v>
      </c>
      <c r="B554">
        <v>34.25</v>
      </c>
      <c r="C554">
        <v>2025</v>
      </c>
      <c r="D554">
        <v>1</v>
      </c>
      <c r="E554">
        <v>24</v>
      </c>
      <c r="F554">
        <f>Sayfa1!C554-273.15</f>
        <v>21.940576171875023</v>
      </c>
      <c r="G554">
        <v>5.8143939971923828</v>
      </c>
      <c r="H554">
        <f>SQRT(Sayfa1!D554^2+Sayfa1!E554^2)</f>
        <v>3.6921528783347197</v>
      </c>
      <c r="I554">
        <f>SUM(Sayfa1!G531:G554)</f>
        <v>0</v>
      </c>
    </row>
    <row r="555" spans="1:9" x14ac:dyDescent="0.3">
      <c r="A555">
        <v>-118.75</v>
      </c>
      <c r="B555">
        <v>34.25</v>
      </c>
      <c r="C555">
        <v>2025</v>
      </c>
      <c r="D555">
        <v>1</v>
      </c>
      <c r="E555">
        <v>24</v>
      </c>
      <c r="F555">
        <f>Sayfa1!C555-273.15</f>
        <v>20.908837890625023</v>
      </c>
      <c r="G555">
        <v>6.709503173828125</v>
      </c>
      <c r="H555">
        <f>SQRT(Sayfa1!D555^2+Sayfa1!E555^2)</f>
        <v>3.6742211522780508</v>
      </c>
      <c r="I555">
        <f>SUM(Sayfa1!G532:G555)</f>
        <v>0</v>
      </c>
    </row>
    <row r="556" spans="1:9" x14ac:dyDescent="0.3">
      <c r="A556">
        <v>-118.75</v>
      </c>
      <c r="B556">
        <v>34.25</v>
      </c>
      <c r="C556">
        <v>2025</v>
      </c>
      <c r="D556">
        <v>1</v>
      </c>
      <c r="E556">
        <v>24</v>
      </c>
      <c r="F556">
        <f>Sayfa1!C556-273.15</f>
        <v>19.612329101562523</v>
      </c>
      <c r="G556">
        <v>6.7509765625</v>
      </c>
      <c r="H556">
        <f>SQRT(Sayfa1!D556^2+Sayfa1!E556^2)</f>
        <v>3.5978963095993937</v>
      </c>
      <c r="I556">
        <f>SUM(Sayfa1!G533:G556)</f>
        <v>0</v>
      </c>
    </row>
    <row r="557" spans="1:9" x14ac:dyDescent="0.3">
      <c r="A557">
        <v>-118.75</v>
      </c>
      <c r="B557">
        <v>34.25</v>
      </c>
      <c r="C557">
        <v>2025</v>
      </c>
      <c r="D557">
        <v>1</v>
      </c>
      <c r="E557">
        <v>24</v>
      </c>
      <c r="F557">
        <f>Sayfa1!C557-273.15</f>
        <v>18.838037109375023</v>
      </c>
      <c r="G557">
        <v>6.7413692474365234</v>
      </c>
      <c r="H557">
        <f>SQRT(Sayfa1!D557^2+Sayfa1!E557^2)</f>
        <v>3.3067467938138377</v>
      </c>
      <c r="I557">
        <f>SUM(Sayfa1!G534:G557)</f>
        <v>0</v>
      </c>
    </row>
    <row r="558" spans="1:9" x14ac:dyDescent="0.3">
      <c r="A558">
        <v>-118.75</v>
      </c>
      <c r="B558">
        <v>34.25</v>
      </c>
      <c r="C558">
        <v>2025</v>
      </c>
      <c r="D558">
        <v>1</v>
      </c>
      <c r="E558">
        <v>24</v>
      </c>
      <c r="F558">
        <f>Sayfa1!C558-273.15</f>
        <v>18.495507812500023</v>
      </c>
      <c r="G558">
        <v>7.1496372222900391</v>
      </c>
      <c r="H558">
        <f>SQRT(Sayfa1!D558^2+Sayfa1!E558^2)</f>
        <v>2.9790743079117665</v>
      </c>
      <c r="I558">
        <f>SUM(Sayfa1!G535:G558)</f>
        <v>0</v>
      </c>
    </row>
    <row r="559" spans="1:9" x14ac:dyDescent="0.3">
      <c r="A559">
        <v>-118.75</v>
      </c>
      <c r="B559">
        <v>34.25</v>
      </c>
      <c r="C559">
        <v>2025</v>
      </c>
      <c r="D559">
        <v>1</v>
      </c>
      <c r="E559">
        <v>24</v>
      </c>
      <c r="F559">
        <f>Sayfa1!C559-273.15</f>
        <v>18.255639648437523</v>
      </c>
      <c r="G559">
        <v>8.2196865081787109</v>
      </c>
      <c r="H559">
        <f>SQRT(Sayfa1!D559^2+Sayfa1!E559^2)</f>
        <v>2.9182066667624911</v>
      </c>
      <c r="I559">
        <f>SUM(Sayfa1!G536:G559)</f>
        <v>0</v>
      </c>
    </row>
    <row r="560" spans="1:9" x14ac:dyDescent="0.3">
      <c r="A560">
        <v>-118.75</v>
      </c>
      <c r="B560">
        <v>34.25</v>
      </c>
      <c r="C560">
        <v>2025</v>
      </c>
      <c r="D560">
        <v>1</v>
      </c>
      <c r="E560">
        <v>24</v>
      </c>
      <c r="F560">
        <f>Sayfa1!C560-273.15</f>
        <v>18.140527343750023</v>
      </c>
      <c r="G560">
        <v>10.315053939819336</v>
      </c>
      <c r="H560">
        <f>SQRT(Sayfa1!D560^2+Sayfa1!E560^2)</f>
        <v>2.8643051103561916</v>
      </c>
      <c r="I560">
        <f>SUM(Sayfa1!G537:G560)</f>
        <v>0</v>
      </c>
    </row>
    <row r="561" spans="1:9" x14ac:dyDescent="0.3">
      <c r="A561">
        <v>-118.75</v>
      </c>
      <c r="B561">
        <v>34.25</v>
      </c>
      <c r="C561">
        <v>2025</v>
      </c>
      <c r="D561">
        <v>1</v>
      </c>
      <c r="E561">
        <v>24</v>
      </c>
      <c r="F561">
        <f>Sayfa1!C561-273.15</f>
        <v>18.030908203125023</v>
      </c>
      <c r="G561">
        <v>12.846837997436523</v>
      </c>
      <c r="H561">
        <f>SQRT(Sayfa1!D561^2+Sayfa1!E561^2)</f>
        <v>2.8287738144228922</v>
      </c>
      <c r="I561">
        <f>SUM(Sayfa1!G538:G561)</f>
        <v>0</v>
      </c>
    </row>
    <row r="562" spans="1:9" x14ac:dyDescent="0.3">
      <c r="A562">
        <v>-118.75</v>
      </c>
      <c r="B562">
        <v>34.25</v>
      </c>
      <c r="C562">
        <v>2025</v>
      </c>
      <c r="D562">
        <v>1</v>
      </c>
      <c r="E562">
        <v>24</v>
      </c>
      <c r="F562">
        <f>Sayfa1!C562-273.15</f>
        <v>17.847070312500023</v>
      </c>
      <c r="G562">
        <v>15.28140926361084</v>
      </c>
      <c r="H562">
        <f>SQRT(Sayfa1!D562^2+Sayfa1!E562^2)</f>
        <v>2.8511843511027148</v>
      </c>
      <c r="I562">
        <f>SUM(Sayfa1!G539:G562)</f>
        <v>0</v>
      </c>
    </row>
    <row r="563" spans="1:9" x14ac:dyDescent="0.3">
      <c r="A563">
        <v>-118.75</v>
      </c>
      <c r="B563">
        <v>34.25</v>
      </c>
      <c r="C563">
        <v>2025</v>
      </c>
      <c r="D563">
        <v>1</v>
      </c>
      <c r="E563">
        <v>24</v>
      </c>
      <c r="F563">
        <f>Sayfa1!C563-273.15</f>
        <v>17.680078125000023</v>
      </c>
      <c r="G563">
        <v>17.290309906005859</v>
      </c>
      <c r="H563">
        <f>SQRT(Sayfa1!D563^2+Sayfa1!E563^2)</f>
        <v>2.8034034874004834</v>
      </c>
      <c r="I563">
        <f>SUM(Sayfa1!G540:G563)</f>
        <v>0</v>
      </c>
    </row>
    <row r="564" spans="1:9" x14ac:dyDescent="0.3">
      <c r="A564">
        <v>-118.75</v>
      </c>
      <c r="B564">
        <v>34.25</v>
      </c>
      <c r="C564">
        <v>2025</v>
      </c>
      <c r="D564">
        <v>1</v>
      </c>
      <c r="E564">
        <v>24</v>
      </c>
      <c r="F564">
        <f>Sayfa1!C564-273.15</f>
        <v>16.123193359375023</v>
      </c>
      <c r="G564">
        <v>16.004955291748047</v>
      </c>
      <c r="H564">
        <f>SQRT(Sayfa1!D564^2+Sayfa1!E564^2)</f>
        <v>2.9233200085073596</v>
      </c>
      <c r="I564">
        <f>SUM(Sayfa1!G541:G564)</f>
        <v>0</v>
      </c>
    </row>
    <row r="565" spans="1:9" x14ac:dyDescent="0.3">
      <c r="A565">
        <v>-118.75</v>
      </c>
      <c r="B565">
        <v>34.25</v>
      </c>
      <c r="C565">
        <v>2025</v>
      </c>
      <c r="D565">
        <v>1</v>
      </c>
      <c r="E565">
        <v>24</v>
      </c>
      <c r="F565">
        <f>Sayfa1!C565-273.15</f>
        <v>16.094628906250023</v>
      </c>
      <c r="G565">
        <v>16.788997650146484</v>
      </c>
      <c r="H565">
        <f>SQRT(Sayfa1!D565^2+Sayfa1!E565^2)</f>
        <v>2.8743083322043734</v>
      </c>
      <c r="I565">
        <f>SUM(Sayfa1!G542:G565)</f>
        <v>0</v>
      </c>
    </row>
    <row r="566" spans="1:9" x14ac:dyDescent="0.3">
      <c r="A566">
        <v>-118.75</v>
      </c>
      <c r="B566">
        <v>34.25</v>
      </c>
      <c r="C566">
        <v>2025</v>
      </c>
      <c r="D566">
        <v>1</v>
      </c>
      <c r="E566">
        <v>24</v>
      </c>
      <c r="F566">
        <f>Sayfa1!C566-273.15</f>
        <v>15.962670898437523</v>
      </c>
      <c r="G566">
        <v>18.210071563720703</v>
      </c>
      <c r="H566">
        <f>SQRT(Sayfa1!D566^2+Sayfa1!E566^2)</f>
        <v>2.887367383512577</v>
      </c>
      <c r="I566">
        <f>SUM(Sayfa1!G543:G566)</f>
        <v>0</v>
      </c>
    </row>
    <row r="567" spans="1:9" x14ac:dyDescent="0.3">
      <c r="A567">
        <v>-118.75</v>
      </c>
      <c r="B567">
        <v>34.25</v>
      </c>
      <c r="C567">
        <v>2025</v>
      </c>
      <c r="D567">
        <v>1</v>
      </c>
      <c r="E567">
        <v>24</v>
      </c>
      <c r="F567">
        <f>Sayfa1!C567-273.15</f>
        <v>15.870507812500023</v>
      </c>
      <c r="G567">
        <v>19.391199111938477</v>
      </c>
      <c r="H567">
        <f>SQRT(Sayfa1!D567^2+Sayfa1!E567^2)</f>
        <v>2.873907591482439</v>
      </c>
      <c r="I567">
        <f>SUM(Sayfa1!G544:G567)</f>
        <v>0</v>
      </c>
    </row>
    <row r="568" spans="1:9" x14ac:dyDescent="0.3">
      <c r="A568">
        <v>-118.75</v>
      </c>
      <c r="B568">
        <v>34.25</v>
      </c>
      <c r="C568">
        <v>2025</v>
      </c>
      <c r="D568">
        <v>1</v>
      </c>
      <c r="E568">
        <v>24</v>
      </c>
      <c r="F568">
        <f>Sayfa1!C568-273.15</f>
        <v>15.849877929687523</v>
      </c>
      <c r="G568">
        <v>20.182676315307617</v>
      </c>
      <c r="H568">
        <f>SQRT(Sayfa1!D568^2+Sayfa1!E568^2)</f>
        <v>2.8102736009690497</v>
      </c>
      <c r="I568">
        <f>SUM(Sayfa1!G545:G568)</f>
        <v>0</v>
      </c>
    </row>
    <row r="569" spans="1:9" x14ac:dyDescent="0.3">
      <c r="A569">
        <v>-118.75</v>
      </c>
      <c r="B569">
        <v>34.25</v>
      </c>
      <c r="C569">
        <v>2025</v>
      </c>
      <c r="D569">
        <v>1</v>
      </c>
      <c r="E569">
        <v>24</v>
      </c>
      <c r="F569">
        <f>Sayfa1!C569-273.15</f>
        <v>15.908105468750023</v>
      </c>
      <c r="G569">
        <v>20.0341796875</v>
      </c>
      <c r="H569">
        <f>SQRT(Sayfa1!D569^2+Sayfa1!E569^2)</f>
        <v>2.7368560898734171</v>
      </c>
      <c r="I569">
        <f>SUM(Sayfa1!G546:G569)</f>
        <v>0</v>
      </c>
    </row>
    <row r="570" spans="1:9" x14ac:dyDescent="0.3">
      <c r="A570">
        <v>-118.75</v>
      </c>
      <c r="B570">
        <v>34.25</v>
      </c>
      <c r="C570">
        <v>2025</v>
      </c>
      <c r="D570">
        <v>1</v>
      </c>
      <c r="E570">
        <v>24</v>
      </c>
      <c r="F570">
        <f>Sayfa1!C570-273.15</f>
        <v>15.970239257812523</v>
      </c>
      <c r="G570">
        <v>19.9122314453125</v>
      </c>
      <c r="H570">
        <f>SQRT(Sayfa1!D570^2+Sayfa1!E570^2)</f>
        <v>2.4021109945076091</v>
      </c>
      <c r="I570">
        <f>SUM(Sayfa1!G547:G570)</f>
        <v>0</v>
      </c>
    </row>
    <row r="571" spans="1:9" x14ac:dyDescent="0.3">
      <c r="A571">
        <v>-118.75</v>
      </c>
      <c r="B571">
        <v>34.25</v>
      </c>
      <c r="C571">
        <v>2025</v>
      </c>
      <c r="D571">
        <v>1</v>
      </c>
      <c r="E571">
        <v>24</v>
      </c>
      <c r="F571">
        <f>Sayfa1!C571-273.15</f>
        <v>16.132958984375023</v>
      </c>
      <c r="G571">
        <v>17.333145141601563</v>
      </c>
      <c r="H571">
        <f>SQRT(Sayfa1!D571^2+Sayfa1!E571^2)</f>
        <v>1.9568729599546781</v>
      </c>
      <c r="I571">
        <f>SUM(Sayfa1!G548:G571)</f>
        <v>0</v>
      </c>
    </row>
    <row r="572" spans="1:9" x14ac:dyDescent="0.3">
      <c r="A572">
        <v>-118.75</v>
      </c>
      <c r="B572">
        <v>34.25</v>
      </c>
      <c r="C572">
        <v>2025</v>
      </c>
      <c r="D572">
        <v>1</v>
      </c>
      <c r="E572">
        <v>24</v>
      </c>
      <c r="F572">
        <f>Sayfa1!C572-273.15</f>
        <v>16.632714843750023</v>
      </c>
      <c r="G572">
        <v>11.732438087463379</v>
      </c>
      <c r="H572">
        <f>SQRT(Sayfa1!D572^2+Sayfa1!E572^2)</f>
        <v>1.6682374819262384</v>
      </c>
      <c r="I572">
        <f>SUM(Sayfa1!G549:G572)</f>
        <v>0</v>
      </c>
    </row>
    <row r="573" spans="1:9" x14ac:dyDescent="0.3">
      <c r="A573">
        <v>-118.75</v>
      </c>
      <c r="B573">
        <v>34.25</v>
      </c>
      <c r="C573">
        <v>2025</v>
      </c>
      <c r="D573">
        <v>1</v>
      </c>
      <c r="E573">
        <v>24</v>
      </c>
      <c r="F573">
        <f>Sayfa1!C573-273.15</f>
        <v>18.898217773437523</v>
      </c>
      <c r="G573">
        <v>7.6295309066772461</v>
      </c>
      <c r="H573">
        <f>SQRT(Sayfa1!D573^2+Sayfa1!E573^2)</f>
        <v>1.2343040716414908</v>
      </c>
      <c r="I573">
        <f>SUM(Sayfa1!G550:G573)</f>
        <v>0</v>
      </c>
    </row>
    <row r="574" spans="1:9" x14ac:dyDescent="0.3">
      <c r="A574">
        <v>-118.75</v>
      </c>
      <c r="B574">
        <v>34.25</v>
      </c>
      <c r="C574">
        <v>2025</v>
      </c>
      <c r="D574">
        <v>1</v>
      </c>
      <c r="E574">
        <v>24</v>
      </c>
      <c r="F574">
        <f>Sayfa1!C574-273.15</f>
        <v>20.255517578125023</v>
      </c>
      <c r="G574">
        <v>6.6197118759155273</v>
      </c>
      <c r="H574">
        <f>SQRT(Sayfa1!D574^2+Sayfa1!E574^2)</f>
        <v>0.62005399847609377</v>
      </c>
      <c r="I574">
        <f>SUM(Sayfa1!G551:G574)</f>
        <v>0</v>
      </c>
    </row>
    <row r="575" spans="1:9" x14ac:dyDescent="0.3">
      <c r="A575">
        <v>-118.75</v>
      </c>
      <c r="B575">
        <v>34.25</v>
      </c>
      <c r="C575">
        <v>2025</v>
      </c>
      <c r="D575">
        <v>1</v>
      </c>
      <c r="E575">
        <v>24</v>
      </c>
      <c r="F575">
        <f>Sayfa1!C575-273.15</f>
        <v>21.022180175781273</v>
      </c>
      <c r="G575">
        <v>6.3404226303100586</v>
      </c>
      <c r="H575">
        <f>SQRT(Sayfa1!D575^2+Sayfa1!E575^2)</f>
        <v>0.65143379259797551</v>
      </c>
      <c r="I575">
        <f>SUM(Sayfa1!G552:G575)</f>
        <v>0</v>
      </c>
    </row>
    <row r="576" spans="1:9" x14ac:dyDescent="0.3">
      <c r="A576">
        <v>-118.75</v>
      </c>
      <c r="B576">
        <v>34.25</v>
      </c>
      <c r="C576">
        <v>2025</v>
      </c>
      <c r="D576">
        <v>1</v>
      </c>
      <c r="E576">
        <v>24</v>
      </c>
      <c r="F576">
        <f>Sayfa1!C576-273.15</f>
        <v>20.620141601562523</v>
      </c>
      <c r="G576">
        <v>6.2093038558959961</v>
      </c>
      <c r="H576">
        <f>SQRT(Sayfa1!D576^2+Sayfa1!E576^2)</f>
        <v>0.88363831970622975</v>
      </c>
      <c r="I576">
        <f>SUM(Sayfa1!G553:G576)</f>
        <v>0</v>
      </c>
    </row>
    <row r="577" spans="1:9" x14ac:dyDescent="0.3">
      <c r="A577">
        <v>-118.75</v>
      </c>
      <c r="B577">
        <v>34.25</v>
      </c>
      <c r="C577">
        <v>2025</v>
      </c>
      <c r="D577">
        <v>1</v>
      </c>
      <c r="E577">
        <v>24</v>
      </c>
      <c r="F577">
        <f>Sayfa1!C577-273.15</f>
        <v>20.456201171875023</v>
      </c>
      <c r="G577">
        <v>8.1909847259521484</v>
      </c>
      <c r="H577">
        <f>SQRT(Sayfa1!D577^2+Sayfa1!E577^2)</f>
        <v>1.5846442638095131</v>
      </c>
      <c r="I577">
        <f>SUM(Sayfa1!G554:G577)</f>
        <v>0</v>
      </c>
    </row>
    <row r="578" spans="1:9" x14ac:dyDescent="0.3">
      <c r="A578">
        <v>-118.75</v>
      </c>
      <c r="B578">
        <v>34.25</v>
      </c>
      <c r="C578">
        <v>2025</v>
      </c>
      <c r="D578">
        <v>1</v>
      </c>
      <c r="E578">
        <v>25</v>
      </c>
      <c r="F578">
        <f>Sayfa1!C578-273.15</f>
        <v>19.554345703125023</v>
      </c>
      <c r="G578">
        <v>13.163970947265625</v>
      </c>
      <c r="H578">
        <f>SQRT(Sayfa1!D578^2+Sayfa1!E578^2)</f>
        <v>2.0464162767515175</v>
      </c>
      <c r="I578">
        <f>SUM(Sayfa1!G555:G578)</f>
        <v>0</v>
      </c>
    </row>
    <row r="579" spans="1:9" x14ac:dyDescent="0.3">
      <c r="A579">
        <v>-118.75</v>
      </c>
      <c r="B579">
        <v>34.25</v>
      </c>
      <c r="C579">
        <v>2025</v>
      </c>
      <c r="D579">
        <v>1</v>
      </c>
      <c r="E579">
        <v>25</v>
      </c>
      <c r="F579">
        <f>Sayfa1!C579-273.15</f>
        <v>18.274072265625023</v>
      </c>
      <c r="G579">
        <v>22.432903289794922</v>
      </c>
      <c r="H579">
        <f>SQRT(Sayfa1!D579^2+Sayfa1!E579^2)</f>
        <v>1.7154505565478828</v>
      </c>
      <c r="I579">
        <f>SUM(Sayfa1!G556:G579)</f>
        <v>0</v>
      </c>
    </row>
    <row r="580" spans="1:9" x14ac:dyDescent="0.3">
      <c r="A580">
        <v>-118.75</v>
      </c>
      <c r="B580">
        <v>34.25</v>
      </c>
      <c r="C580">
        <v>2025</v>
      </c>
      <c r="D580">
        <v>1</v>
      </c>
      <c r="E580">
        <v>25</v>
      </c>
      <c r="F580">
        <f>Sayfa1!C580-273.15</f>
        <v>17.662744140625023</v>
      </c>
      <c r="G580">
        <v>30.656162261962891</v>
      </c>
      <c r="H580">
        <f>SQRT(Sayfa1!D580^2+Sayfa1!E580^2)</f>
        <v>1.2402102574121106</v>
      </c>
      <c r="I580">
        <f>SUM(Sayfa1!G557:G580)</f>
        <v>0</v>
      </c>
    </row>
    <row r="581" spans="1:9" x14ac:dyDescent="0.3">
      <c r="A581">
        <v>-118.75</v>
      </c>
      <c r="B581">
        <v>34.25</v>
      </c>
      <c r="C581">
        <v>2025</v>
      </c>
      <c r="D581">
        <v>1</v>
      </c>
      <c r="E581">
        <v>25</v>
      </c>
      <c r="F581">
        <f>Sayfa1!C581-273.15</f>
        <v>17.602563476562523</v>
      </c>
      <c r="G581">
        <v>34.719978332519531</v>
      </c>
      <c r="H581">
        <f>SQRT(Sayfa1!D581^2+Sayfa1!E581^2)</f>
        <v>0.67310923222728669</v>
      </c>
      <c r="I581">
        <f>SUM(Sayfa1!G558:G581)</f>
        <v>0</v>
      </c>
    </row>
    <row r="582" spans="1:9" x14ac:dyDescent="0.3">
      <c r="A582">
        <v>-118.75</v>
      </c>
      <c r="B582">
        <v>34.25</v>
      </c>
      <c r="C582">
        <v>2025</v>
      </c>
      <c r="D582">
        <v>1</v>
      </c>
      <c r="E582">
        <v>25</v>
      </c>
      <c r="F582">
        <f>Sayfa1!C582-273.15</f>
        <v>17.443505859375023</v>
      </c>
      <c r="G582">
        <v>34.933990478515625</v>
      </c>
      <c r="H582">
        <f>SQRT(Sayfa1!D582^2+Sayfa1!E582^2)</f>
        <v>0.3449653124269963</v>
      </c>
      <c r="I582">
        <f>SUM(Sayfa1!G559:G582)</f>
        <v>0</v>
      </c>
    </row>
    <row r="583" spans="1:9" x14ac:dyDescent="0.3">
      <c r="A583">
        <v>-118.75</v>
      </c>
      <c r="B583">
        <v>34.25</v>
      </c>
      <c r="C583">
        <v>2025</v>
      </c>
      <c r="D583">
        <v>1</v>
      </c>
      <c r="E583">
        <v>25</v>
      </c>
      <c r="F583">
        <f>Sayfa1!C583-273.15</f>
        <v>16.795678710937523</v>
      </c>
      <c r="G583">
        <v>34.859352111816406</v>
      </c>
      <c r="H583">
        <f>SQRT(Sayfa1!D583^2+Sayfa1!E583^2)</f>
        <v>7.0344528546106969E-2</v>
      </c>
      <c r="I583">
        <f>SUM(Sayfa1!G560:G583)</f>
        <v>0</v>
      </c>
    </row>
    <row r="584" spans="1:9" x14ac:dyDescent="0.3">
      <c r="A584">
        <v>-118.75</v>
      </c>
      <c r="B584">
        <v>34.25</v>
      </c>
      <c r="C584">
        <v>2025</v>
      </c>
      <c r="D584">
        <v>1</v>
      </c>
      <c r="E584">
        <v>25</v>
      </c>
      <c r="F584">
        <f>Sayfa1!C584-273.15</f>
        <v>15.893457031250023</v>
      </c>
      <c r="G584">
        <v>37.020530700683594</v>
      </c>
      <c r="H584">
        <f>SQRT(Sayfa1!D584^2+Sayfa1!E584^2)</f>
        <v>0.40296882994232408</v>
      </c>
      <c r="I584">
        <f>SUM(Sayfa1!G561:G584)</f>
        <v>0</v>
      </c>
    </row>
    <row r="585" spans="1:9" x14ac:dyDescent="0.3">
      <c r="A585">
        <v>-118.75</v>
      </c>
      <c r="B585">
        <v>34.25</v>
      </c>
      <c r="C585">
        <v>2025</v>
      </c>
      <c r="D585">
        <v>1</v>
      </c>
      <c r="E585">
        <v>25</v>
      </c>
      <c r="F585">
        <f>Sayfa1!C585-273.15</f>
        <v>15.088769531250023</v>
      </c>
      <c r="G585">
        <v>40.892646789550781</v>
      </c>
      <c r="H585">
        <f>SQRT(Sayfa1!D585^2+Sayfa1!E585^2)</f>
        <v>0.56560819613077984</v>
      </c>
      <c r="I585">
        <f>SUM(Sayfa1!G562:G585)</f>
        <v>0</v>
      </c>
    </row>
    <row r="586" spans="1:9" x14ac:dyDescent="0.3">
      <c r="A586">
        <v>-118.75</v>
      </c>
      <c r="B586">
        <v>34.25</v>
      </c>
      <c r="C586">
        <v>2025</v>
      </c>
      <c r="D586">
        <v>1</v>
      </c>
      <c r="E586">
        <v>25</v>
      </c>
      <c r="F586">
        <f>Sayfa1!C586-273.15</f>
        <v>14.385034179687523</v>
      </c>
      <c r="G586">
        <v>44.591472625732422</v>
      </c>
      <c r="H586">
        <f>SQRT(Sayfa1!D586^2+Sayfa1!E586^2)</f>
        <v>0.70480846924378493</v>
      </c>
      <c r="I586">
        <f>SUM(Sayfa1!G563:G586)</f>
        <v>0</v>
      </c>
    </row>
    <row r="587" spans="1:9" x14ac:dyDescent="0.3">
      <c r="A587">
        <v>-118.75</v>
      </c>
      <c r="B587">
        <v>34.25</v>
      </c>
      <c r="C587">
        <v>2025</v>
      </c>
      <c r="D587">
        <v>1</v>
      </c>
      <c r="E587">
        <v>25</v>
      </c>
      <c r="F587">
        <f>Sayfa1!C587-273.15</f>
        <v>13.804589843750023</v>
      </c>
      <c r="G587">
        <v>44.936531066894531</v>
      </c>
      <c r="H587">
        <f>SQRT(Sayfa1!D587^2+Sayfa1!E587^2)</f>
        <v>1.0634371699418994</v>
      </c>
      <c r="I587">
        <f>SUM(Sayfa1!G564:G587)</f>
        <v>0</v>
      </c>
    </row>
    <row r="588" spans="1:9" x14ac:dyDescent="0.3">
      <c r="A588">
        <v>-118.75</v>
      </c>
      <c r="B588">
        <v>34.25</v>
      </c>
      <c r="C588">
        <v>2025</v>
      </c>
      <c r="D588">
        <v>1</v>
      </c>
      <c r="E588">
        <v>25</v>
      </c>
      <c r="F588">
        <f>Sayfa1!C588-273.15</f>
        <v>13.636987304687523</v>
      </c>
      <c r="G588">
        <v>41.791748046875</v>
      </c>
      <c r="H588">
        <f>SQRT(Sayfa1!D588^2+Sayfa1!E588^2)</f>
        <v>0.98993109598159768</v>
      </c>
      <c r="I588">
        <f>SUM(Sayfa1!G565:G588)</f>
        <v>0</v>
      </c>
    </row>
    <row r="589" spans="1:9" x14ac:dyDescent="0.3">
      <c r="A589">
        <v>-118.75</v>
      </c>
      <c r="B589">
        <v>34.25</v>
      </c>
      <c r="C589">
        <v>2025</v>
      </c>
      <c r="D589">
        <v>1</v>
      </c>
      <c r="E589">
        <v>25</v>
      </c>
      <c r="F589">
        <f>Sayfa1!C589-273.15</f>
        <v>12.936303710937523</v>
      </c>
      <c r="G589">
        <v>42.318332672119141</v>
      </c>
      <c r="H589">
        <f>SQRT(Sayfa1!D589^2+Sayfa1!E589^2)</f>
        <v>0.98399605498493636</v>
      </c>
      <c r="I589">
        <f>SUM(Sayfa1!G566:G589)</f>
        <v>0</v>
      </c>
    </row>
    <row r="590" spans="1:9" x14ac:dyDescent="0.3">
      <c r="A590">
        <v>-118.75</v>
      </c>
      <c r="B590">
        <v>34.25</v>
      </c>
      <c r="C590">
        <v>2025</v>
      </c>
      <c r="D590">
        <v>1</v>
      </c>
      <c r="E590">
        <v>25</v>
      </c>
      <c r="F590">
        <f>Sayfa1!C590-273.15</f>
        <v>12.511926269531273</v>
      </c>
      <c r="G590">
        <v>41.727157592773438</v>
      </c>
      <c r="H590">
        <f>SQRT(Sayfa1!D590^2+Sayfa1!E590^2)</f>
        <v>0.85207795643577011</v>
      </c>
      <c r="I590">
        <f>SUM(Sayfa1!G567:G590)</f>
        <v>0</v>
      </c>
    </row>
    <row r="591" spans="1:9" x14ac:dyDescent="0.3">
      <c r="A591">
        <v>-118.75</v>
      </c>
      <c r="B591">
        <v>34.25</v>
      </c>
      <c r="C591">
        <v>2025</v>
      </c>
      <c r="D591">
        <v>1</v>
      </c>
      <c r="E591">
        <v>25</v>
      </c>
      <c r="F591">
        <f>Sayfa1!C591-273.15</f>
        <v>12.208642578125023</v>
      </c>
      <c r="G591">
        <v>42.008262634277344</v>
      </c>
      <c r="H591">
        <f>SQRT(Sayfa1!D591^2+Sayfa1!E591^2)</f>
        <v>0.57131932577850175</v>
      </c>
      <c r="I591">
        <f>SUM(Sayfa1!G568:G591)</f>
        <v>0</v>
      </c>
    </row>
    <row r="592" spans="1:9" x14ac:dyDescent="0.3">
      <c r="A592">
        <v>-118.75</v>
      </c>
      <c r="B592">
        <v>34.25</v>
      </c>
      <c r="C592">
        <v>2025</v>
      </c>
      <c r="D592">
        <v>1</v>
      </c>
      <c r="E592">
        <v>25</v>
      </c>
      <c r="F592">
        <f>Sayfa1!C592-273.15</f>
        <v>11.977014160156273</v>
      </c>
      <c r="G592">
        <v>42.590137481689453</v>
      </c>
      <c r="H592">
        <f>SQRT(Sayfa1!D592^2+Sayfa1!E592^2)</f>
        <v>0.58659437632155143</v>
      </c>
      <c r="I592">
        <f>SUM(Sayfa1!G569:G592)</f>
        <v>0</v>
      </c>
    </row>
    <row r="593" spans="1:9" x14ac:dyDescent="0.3">
      <c r="A593">
        <v>-118.75</v>
      </c>
      <c r="B593">
        <v>34.25</v>
      </c>
      <c r="C593">
        <v>2025</v>
      </c>
      <c r="D593">
        <v>1</v>
      </c>
      <c r="E593">
        <v>25</v>
      </c>
      <c r="F593">
        <f>Sayfa1!C593-273.15</f>
        <v>11.729150390625023</v>
      </c>
      <c r="G593">
        <v>42.684532165527344</v>
      </c>
      <c r="H593">
        <f>SQRT(Sayfa1!D593^2+Sayfa1!E593^2)</f>
        <v>0.75853769101249946</v>
      </c>
      <c r="I593">
        <f>SUM(Sayfa1!G570:G593)</f>
        <v>0</v>
      </c>
    </row>
    <row r="594" spans="1:9" x14ac:dyDescent="0.3">
      <c r="A594">
        <v>-118.75</v>
      </c>
      <c r="B594">
        <v>34.25</v>
      </c>
      <c r="C594">
        <v>2025</v>
      </c>
      <c r="D594">
        <v>1</v>
      </c>
      <c r="E594">
        <v>25</v>
      </c>
      <c r="F594">
        <f>Sayfa1!C594-273.15</f>
        <v>11.476403808593773</v>
      </c>
      <c r="G594">
        <v>41.983623504638672</v>
      </c>
      <c r="H594">
        <f>SQRT(Sayfa1!D594^2+Sayfa1!E594^2)</f>
        <v>0.70031554378289995</v>
      </c>
      <c r="I594">
        <f>SUM(Sayfa1!G571:G594)</f>
        <v>0</v>
      </c>
    </row>
    <row r="595" spans="1:9" x14ac:dyDescent="0.3">
      <c r="A595">
        <v>-118.75</v>
      </c>
      <c r="B595">
        <v>34.25</v>
      </c>
      <c r="C595">
        <v>2025</v>
      </c>
      <c r="D595">
        <v>1</v>
      </c>
      <c r="E595">
        <v>25</v>
      </c>
      <c r="F595">
        <f>Sayfa1!C595-273.15</f>
        <v>11.403283691406273</v>
      </c>
      <c r="G595">
        <v>38.855106353759766</v>
      </c>
      <c r="H595">
        <f>SQRT(Sayfa1!D595^2+Sayfa1!E595^2)</f>
        <v>0.73730838739969951</v>
      </c>
      <c r="I595">
        <f>SUM(Sayfa1!G572:G595)</f>
        <v>0</v>
      </c>
    </row>
    <row r="596" spans="1:9" x14ac:dyDescent="0.3">
      <c r="A596">
        <v>-118.75</v>
      </c>
      <c r="B596">
        <v>34.25</v>
      </c>
      <c r="C596">
        <v>2025</v>
      </c>
      <c r="D596">
        <v>1</v>
      </c>
      <c r="E596">
        <v>25</v>
      </c>
      <c r="F596">
        <f>Sayfa1!C596-273.15</f>
        <v>11.923669433593773</v>
      </c>
      <c r="G596">
        <v>51.608047485351563</v>
      </c>
      <c r="H596">
        <f>SQRT(Sayfa1!D596^2+Sayfa1!E596^2)</f>
        <v>2.2534812546395382</v>
      </c>
      <c r="I596">
        <f>SUM(Sayfa1!G573:G596)</f>
        <v>9.5367431640625E-4</v>
      </c>
    </row>
    <row r="597" spans="1:9" x14ac:dyDescent="0.3">
      <c r="A597">
        <v>-118.75</v>
      </c>
      <c r="B597">
        <v>34.25</v>
      </c>
      <c r="C597">
        <v>2025</v>
      </c>
      <c r="D597">
        <v>1</v>
      </c>
      <c r="E597">
        <v>25</v>
      </c>
      <c r="F597">
        <f>Sayfa1!C597-273.15</f>
        <v>12.555139160156273</v>
      </c>
      <c r="G597">
        <v>55.3780517578125</v>
      </c>
      <c r="H597">
        <f>SQRT(Sayfa1!D597^2+Sayfa1!E597^2)</f>
        <v>2.9656597695109359</v>
      </c>
      <c r="I597">
        <f>SUM(Sayfa1!G574:G597)</f>
        <v>9.5367431640625E-4</v>
      </c>
    </row>
    <row r="598" spans="1:9" x14ac:dyDescent="0.3">
      <c r="A598">
        <v>-118.75</v>
      </c>
      <c r="B598">
        <v>34.25</v>
      </c>
      <c r="C598">
        <v>2025</v>
      </c>
      <c r="D598">
        <v>1</v>
      </c>
      <c r="E598">
        <v>25</v>
      </c>
      <c r="F598">
        <f>Sayfa1!C598-273.15</f>
        <v>13.139978027343773</v>
      </c>
      <c r="G598">
        <v>53.593719482421875</v>
      </c>
      <c r="H598">
        <f>SQRT(Sayfa1!D598^2+Sayfa1!E598^2)</f>
        <v>3.4365680481450718</v>
      </c>
      <c r="I598">
        <f>SUM(Sayfa1!G575:G598)</f>
        <v>9.5367431640625E-4</v>
      </c>
    </row>
    <row r="599" spans="1:9" x14ac:dyDescent="0.3">
      <c r="A599">
        <v>-118.75</v>
      </c>
      <c r="B599">
        <v>34.25</v>
      </c>
      <c r="C599">
        <v>2025</v>
      </c>
      <c r="D599">
        <v>1</v>
      </c>
      <c r="E599">
        <v>25</v>
      </c>
      <c r="F599">
        <f>Sayfa1!C599-273.15</f>
        <v>13.433862304687523</v>
      </c>
      <c r="G599">
        <v>54.104232788085938</v>
      </c>
      <c r="H599">
        <f>SQRT(Sayfa1!D599^2+Sayfa1!E599^2)</f>
        <v>3.8152783629669402</v>
      </c>
      <c r="I599">
        <f>SUM(Sayfa1!G576:G599)</f>
        <v>9.5367431640625E-4</v>
      </c>
    </row>
    <row r="600" spans="1:9" x14ac:dyDescent="0.3">
      <c r="A600">
        <v>-118.75</v>
      </c>
      <c r="B600">
        <v>34.25</v>
      </c>
      <c r="C600">
        <v>2025</v>
      </c>
      <c r="D600">
        <v>1</v>
      </c>
      <c r="E600">
        <v>25</v>
      </c>
      <c r="F600">
        <f>Sayfa1!C600-273.15</f>
        <v>13.229089355468773</v>
      </c>
      <c r="G600">
        <v>60.991256713867188</v>
      </c>
      <c r="H600">
        <f>SQRT(Sayfa1!D600^2+Sayfa1!E600^2)</f>
        <v>3.6256707268543438</v>
      </c>
      <c r="I600">
        <f>SUM(Sayfa1!G577:G600)</f>
        <v>9.5367431640625E-4</v>
      </c>
    </row>
    <row r="601" spans="1:9" x14ac:dyDescent="0.3">
      <c r="A601">
        <v>-118.75</v>
      </c>
      <c r="B601">
        <v>34.25</v>
      </c>
      <c r="C601">
        <v>2025</v>
      </c>
      <c r="D601">
        <v>1</v>
      </c>
      <c r="E601">
        <v>25</v>
      </c>
      <c r="F601">
        <f>Sayfa1!C601-273.15</f>
        <v>12.975610351562523</v>
      </c>
      <c r="G601">
        <v>64.049942016601563</v>
      </c>
      <c r="H601">
        <f>SQRT(Sayfa1!D601^2+Sayfa1!E601^2)</f>
        <v>3.8394213059464075</v>
      </c>
      <c r="I601">
        <f>SUM(Sayfa1!G578:G601)</f>
        <v>1.6689300537109375E-2</v>
      </c>
    </row>
    <row r="602" spans="1:9" x14ac:dyDescent="0.3">
      <c r="A602">
        <v>-118.75</v>
      </c>
      <c r="B602">
        <v>34.25</v>
      </c>
      <c r="C602">
        <v>2025</v>
      </c>
      <c r="D602">
        <v>1</v>
      </c>
      <c r="E602">
        <v>26</v>
      </c>
      <c r="F602">
        <f>Sayfa1!C602-273.15</f>
        <v>12.356622314453148</v>
      </c>
      <c r="G602">
        <v>71.028167724609375</v>
      </c>
      <c r="H602">
        <f>SQRT(Sayfa1!D602^2+Sayfa1!E602^2)</f>
        <v>3.7306098036599642</v>
      </c>
      <c r="I602">
        <f>SUM(Sayfa1!G579:G602)</f>
        <v>3.719329833984375E-2</v>
      </c>
    </row>
    <row r="603" spans="1:9" x14ac:dyDescent="0.3">
      <c r="A603">
        <v>-118.75</v>
      </c>
      <c r="B603">
        <v>34.25</v>
      </c>
      <c r="C603">
        <v>2025</v>
      </c>
      <c r="D603">
        <v>1</v>
      </c>
      <c r="E603">
        <v>26</v>
      </c>
      <c r="F603">
        <f>Sayfa1!C603-273.15</f>
        <v>11.600000000000023</v>
      </c>
      <c r="G603">
        <v>79.0113525390625</v>
      </c>
      <c r="H603">
        <f>SQRT(Sayfa1!D603^2+Sayfa1!E603^2)</f>
        <v>2.650826276791451</v>
      </c>
      <c r="I603">
        <f>SUM(Sayfa1!G580:G603)</f>
        <v>0.12254714965820313</v>
      </c>
    </row>
    <row r="604" spans="1:9" x14ac:dyDescent="0.3">
      <c r="A604">
        <v>-118.75</v>
      </c>
      <c r="B604">
        <v>34.25</v>
      </c>
      <c r="C604">
        <v>2025</v>
      </c>
      <c r="D604">
        <v>1</v>
      </c>
      <c r="E604">
        <v>26</v>
      </c>
      <c r="F604">
        <f>Sayfa1!C604-273.15</f>
        <v>10.884912109375023</v>
      </c>
      <c r="G604">
        <v>84.17852783203125</v>
      </c>
      <c r="H604">
        <f>SQRT(Sayfa1!D604^2+Sayfa1!E604^2)</f>
        <v>1.8920056441861148</v>
      </c>
      <c r="I604">
        <f>SUM(Sayfa1!G581:G604)</f>
        <v>0.18072128295898438</v>
      </c>
    </row>
    <row r="605" spans="1:9" x14ac:dyDescent="0.3">
      <c r="A605">
        <v>-118.75</v>
      </c>
      <c r="B605">
        <v>34.25</v>
      </c>
      <c r="C605">
        <v>2025</v>
      </c>
      <c r="D605">
        <v>1</v>
      </c>
      <c r="E605">
        <v>26</v>
      </c>
      <c r="F605">
        <f>Sayfa1!C605-273.15</f>
        <v>10.295312500000023</v>
      </c>
      <c r="G605">
        <v>89.985214233398438</v>
      </c>
      <c r="H605">
        <f>SQRT(Sayfa1!D605^2+Sayfa1!E605^2)</f>
        <v>1.7582997019106861</v>
      </c>
      <c r="I605">
        <f>SUM(Sayfa1!G582:G605)</f>
        <v>0.45728683471679688</v>
      </c>
    </row>
    <row r="606" spans="1:9" x14ac:dyDescent="0.3">
      <c r="A606">
        <v>-118.75</v>
      </c>
      <c r="B606">
        <v>34.25</v>
      </c>
      <c r="C606">
        <v>2025</v>
      </c>
      <c r="D606">
        <v>1</v>
      </c>
      <c r="E606">
        <v>26</v>
      </c>
      <c r="F606">
        <f>Sayfa1!C606-273.15</f>
        <v>10.218103027343773</v>
      </c>
      <c r="G606">
        <v>91.969818115234375</v>
      </c>
      <c r="H606">
        <f>SQRT(Sayfa1!D606^2+Sayfa1!E606^2)</f>
        <v>1.600061923475796</v>
      </c>
      <c r="I606">
        <f>SUM(Sayfa1!G583:G606)</f>
        <v>0.90074539184570313</v>
      </c>
    </row>
    <row r="607" spans="1:9" x14ac:dyDescent="0.3">
      <c r="A607">
        <v>-118.75</v>
      </c>
      <c r="B607">
        <v>34.25</v>
      </c>
      <c r="C607">
        <v>2025</v>
      </c>
      <c r="D607">
        <v>1</v>
      </c>
      <c r="E607">
        <v>26</v>
      </c>
      <c r="F607">
        <f>Sayfa1!C607-273.15</f>
        <v>10.051446533203148</v>
      </c>
      <c r="G607">
        <v>95.72528076171875</v>
      </c>
      <c r="H607">
        <f>SQRT(Sayfa1!D607^2+Sayfa1!E607^2)</f>
        <v>1.3329774050510688</v>
      </c>
      <c r="I607">
        <f>SUM(Sayfa1!G584:G607)</f>
        <v>1.1692047119140625</v>
      </c>
    </row>
    <row r="608" spans="1:9" x14ac:dyDescent="0.3">
      <c r="A608">
        <v>-118.75</v>
      </c>
      <c r="B608">
        <v>34.25</v>
      </c>
      <c r="C608">
        <v>2025</v>
      </c>
      <c r="D608">
        <v>1</v>
      </c>
      <c r="E608">
        <v>26</v>
      </c>
      <c r="F608">
        <f>Sayfa1!C608-273.15</f>
        <v>9.7433105468750227</v>
      </c>
      <c r="G608">
        <v>93.243759155273438</v>
      </c>
      <c r="H608">
        <f>SQRT(Sayfa1!D608^2+Sayfa1!E608^2)</f>
        <v>1.4524144866593955</v>
      </c>
      <c r="I608">
        <f>SUM(Sayfa1!G585:G608)</f>
        <v>1.3875961303710938</v>
      </c>
    </row>
    <row r="609" spans="1:9" x14ac:dyDescent="0.3">
      <c r="A609">
        <v>-118.75</v>
      </c>
      <c r="B609">
        <v>34.25</v>
      </c>
      <c r="C609">
        <v>2025</v>
      </c>
      <c r="D609">
        <v>1</v>
      </c>
      <c r="E609">
        <v>26</v>
      </c>
      <c r="F609">
        <f>Sayfa1!C609-273.15</f>
        <v>9.3470703125000227</v>
      </c>
      <c r="G609">
        <v>98.214752197265625</v>
      </c>
      <c r="H609">
        <f>SQRT(Sayfa1!D609^2+Sayfa1!E609^2)</f>
        <v>1.3473181369509797</v>
      </c>
      <c r="I609">
        <f>SUM(Sayfa1!G586:G609)</f>
        <v>1.6498565673828125</v>
      </c>
    </row>
    <row r="610" spans="1:9" x14ac:dyDescent="0.3">
      <c r="A610">
        <v>-118.75</v>
      </c>
      <c r="B610">
        <v>34.25</v>
      </c>
      <c r="C610">
        <v>2025</v>
      </c>
      <c r="D610">
        <v>1</v>
      </c>
      <c r="E610">
        <v>26</v>
      </c>
      <c r="F610">
        <f>Sayfa1!C610-273.15</f>
        <v>9.0869384765625227</v>
      </c>
      <c r="G610">
        <v>97.809844970703125</v>
      </c>
      <c r="H610">
        <f>SQRT(Sayfa1!D610^2+Sayfa1!E610^2)</f>
        <v>0.93874333172076985</v>
      </c>
      <c r="I610">
        <f>SUM(Sayfa1!G587:G610)</f>
        <v>1.9979476928710938</v>
      </c>
    </row>
    <row r="611" spans="1:9" x14ac:dyDescent="0.3">
      <c r="A611">
        <v>-118.75</v>
      </c>
      <c r="B611">
        <v>34.25</v>
      </c>
      <c r="C611">
        <v>2025</v>
      </c>
      <c r="D611">
        <v>1</v>
      </c>
      <c r="E611">
        <v>26</v>
      </c>
      <c r="F611">
        <f>Sayfa1!C611-273.15</f>
        <v>9.0698486328125227</v>
      </c>
      <c r="G611">
        <v>93.567550659179688</v>
      </c>
      <c r="H611">
        <f>SQRT(Sayfa1!D611^2+Sayfa1!E611^2)</f>
        <v>0.51814647387508128</v>
      </c>
      <c r="I611">
        <f>SUM(Sayfa1!G588:G611)</f>
        <v>2.3527145385742188</v>
      </c>
    </row>
    <row r="612" spans="1:9" x14ac:dyDescent="0.3">
      <c r="A612">
        <v>-118.75</v>
      </c>
      <c r="B612">
        <v>34.25</v>
      </c>
      <c r="C612">
        <v>2025</v>
      </c>
      <c r="D612">
        <v>1</v>
      </c>
      <c r="E612">
        <v>26</v>
      </c>
      <c r="F612">
        <f>Sayfa1!C612-273.15</f>
        <v>10.264184570312523</v>
      </c>
      <c r="G612">
        <v>88.346633911132813</v>
      </c>
      <c r="H612">
        <f>SQRT(Sayfa1!D612^2+Sayfa1!E612^2)</f>
        <v>0.46593169963883008</v>
      </c>
      <c r="I612">
        <f>SUM(Sayfa1!G589:G612)</f>
        <v>2.6092529296875</v>
      </c>
    </row>
    <row r="613" spans="1:9" x14ac:dyDescent="0.3">
      <c r="A613">
        <v>-118.75</v>
      </c>
      <c r="B613">
        <v>34.25</v>
      </c>
      <c r="C613">
        <v>2025</v>
      </c>
      <c r="D613">
        <v>1</v>
      </c>
      <c r="E613">
        <v>26</v>
      </c>
      <c r="F613">
        <f>Sayfa1!C613-273.15</f>
        <v>10.079797363281273</v>
      </c>
      <c r="G613">
        <v>89.7158203125</v>
      </c>
      <c r="H613">
        <f>SQRT(Sayfa1!D613^2+Sayfa1!E613^2)</f>
        <v>1.0118640272719324</v>
      </c>
      <c r="I613">
        <f>SUM(Sayfa1!G590:G613)</f>
        <v>2.7518272399902344</v>
      </c>
    </row>
    <row r="614" spans="1:9" x14ac:dyDescent="0.3">
      <c r="A614">
        <v>-118.75</v>
      </c>
      <c r="B614">
        <v>34.25</v>
      </c>
      <c r="C614">
        <v>2025</v>
      </c>
      <c r="D614">
        <v>1</v>
      </c>
      <c r="E614">
        <v>26</v>
      </c>
      <c r="F614">
        <f>Sayfa1!C614-273.15</f>
        <v>9.7508178710937727</v>
      </c>
      <c r="G614">
        <v>90.724395751953125</v>
      </c>
      <c r="H614">
        <f>SQRT(Sayfa1!D614^2+Sayfa1!E614^2)</f>
        <v>1.5494535045425444</v>
      </c>
      <c r="I614">
        <f>SUM(Sayfa1!G591:G614)</f>
        <v>2.9902458190917969</v>
      </c>
    </row>
    <row r="615" spans="1:9" x14ac:dyDescent="0.3">
      <c r="A615">
        <v>-118.75</v>
      </c>
      <c r="B615">
        <v>34.25</v>
      </c>
      <c r="C615">
        <v>2025</v>
      </c>
      <c r="D615">
        <v>1</v>
      </c>
      <c r="E615">
        <v>26</v>
      </c>
      <c r="F615">
        <f>Sayfa1!C615-273.15</f>
        <v>9.3246093750000227</v>
      </c>
      <c r="G615">
        <v>91.62640380859375</v>
      </c>
      <c r="H615">
        <f>SQRT(Sayfa1!D615^2+Sayfa1!E615^2)</f>
        <v>1.6488361346275751</v>
      </c>
      <c r="I615">
        <f>SUM(Sayfa1!G592:G615)</f>
        <v>3.3717155456542969</v>
      </c>
    </row>
    <row r="616" spans="1:9" x14ac:dyDescent="0.3">
      <c r="A616">
        <v>-118.75</v>
      </c>
      <c r="B616">
        <v>34.25</v>
      </c>
      <c r="C616">
        <v>2025</v>
      </c>
      <c r="D616">
        <v>1</v>
      </c>
      <c r="E616">
        <v>26</v>
      </c>
      <c r="F616">
        <f>Sayfa1!C616-273.15</f>
        <v>8.8898559570312727</v>
      </c>
      <c r="G616">
        <v>93.065826416015625</v>
      </c>
      <c r="H616">
        <f>SQRT(Sayfa1!D616^2+Sayfa1!E616^2)</f>
        <v>1.5395762347371531</v>
      </c>
      <c r="I616">
        <f>SUM(Sayfa1!G593:G616)</f>
        <v>3.9324760437011719</v>
      </c>
    </row>
    <row r="617" spans="1:9" x14ac:dyDescent="0.3">
      <c r="A617">
        <v>-118.75</v>
      </c>
      <c r="B617">
        <v>34.25</v>
      </c>
      <c r="C617">
        <v>2025</v>
      </c>
      <c r="D617">
        <v>1</v>
      </c>
      <c r="E617">
        <v>26</v>
      </c>
      <c r="F617">
        <f>Sayfa1!C617-273.15</f>
        <v>8.2769409179687727</v>
      </c>
      <c r="G617">
        <v>92.275222778320313</v>
      </c>
      <c r="H617">
        <f>SQRT(Sayfa1!D617^2+Sayfa1!E617^2)</f>
        <v>1.3871777772923912</v>
      </c>
      <c r="I617">
        <f>SUM(Sayfa1!G594:G617)</f>
        <v>4.7669410705566406</v>
      </c>
    </row>
    <row r="618" spans="1:9" x14ac:dyDescent="0.3">
      <c r="A618">
        <v>-118.75</v>
      </c>
      <c r="B618">
        <v>34.25</v>
      </c>
      <c r="C618">
        <v>2025</v>
      </c>
      <c r="D618">
        <v>1</v>
      </c>
      <c r="E618">
        <v>26</v>
      </c>
      <c r="F618">
        <f>Sayfa1!C618-273.15</f>
        <v>8.1856933593750227</v>
      </c>
      <c r="G618">
        <v>91.90765380859375</v>
      </c>
      <c r="H618">
        <f>SQRT(Sayfa1!D618^2+Sayfa1!E618^2)</f>
        <v>1.5109102043826947</v>
      </c>
      <c r="I618">
        <f>SUM(Sayfa1!G595:G618)</f>
        <v>6.0300827026367188</v>
      </c>
    </row>
    <row r="619" spans="1:9" x14ac:dyDescent="0.3">
      <c r="A619">
        <v>-118.75</v>
      </c>
      <c r="B619">
        <v>34.25</v>
      </c>
      <c r="C619">
        <v>2025</v>
      </c>
      <c r="D619">
        <v>1</v>
      </c>
      <c r="E619">
        <v>26</v>
      </c>
      <c r="F619">
        <f>Sayfa1!C619-273.15</f>
        <v>8.7328735351562727</v>
      </c>
      <c r="G619">
        <v>91.89288330078125</v>
      </c>
      <c r="H619">
        <f>SQRT(Sayfa1!D619^2+Sayfa1!E619^2)</f>
        <v>1.7695607926047863</v>
      </c>
      <c r="I619">
        <f>SUM(Sayfa1!G596:G619)</f>
        <v>6.4902305603027344</v>
      </c>
    </row>
    <row r="620" spans="1:9" x14ac:dyDescent="0.3">
      <c r="A620">
        <v>-118.75</v>
      </c>
      <c r="B620">
        <v>34.25</v>
      </c>
      <c r="C620">
        <v>2025</v>
      </c>
      <c r="D620">
        <v>1</v>
      </c>
      <c r="E620">
        <v>26</v>
      </c>
      <c r="F620">
        <f>Sayfa1!C620-273.15</f>
        <v>9.2319885253906477</v>
      </c>
      <c r="G620">
        <v>88.62786865234375</v>
      </c>
      <c r="H620">
        <f>SQRT(Sayfa1!D620^2+Sayfa1!E620^2)</f>
        <v>1.8449203050334331</v>
      </c>
      <c r="I620">
        <f>SUM(Sayfa1!G597:G620)</f>
        <v>7.1153640747070313</v>
      </c>
    </row>
    <row r="621" spans="1:9" x14ac:dyDescent="0.3">
      <c r="A621">
        <v>-118.75</v>
      </c>
      <c r="B621">
        <v>34.25</v>
      </c>
      <c r="C621">
        <v>2025</v>
      </c>
      <c r="D621">
        <v>1</v>
      </c>
      <c r="E621">
        <v>26</v>
      </c>
      <c r="F621">
        <f>Sayfa1!C621-273.15</f>
        <v>10.207299804687523</v>
      </c>
      <c r="G621">
        <v>88.647506713867188</v>
      </c>
      <c r="H621">
        <f>SQRT(Sayfa1!D621^2+Sayfa1!E621^2)</f>
        <v>1.7391620984613623</v>
      </c>
      <c r="I621">
        <f>SUM(Sayfa1!G598:G621)</f>
        <v>8.6913108825683594</v>
      </c>
    </row>
    <row r="622" spans="1:9" x14ac:dyDescent="0.3">
      <c r="A622">
        <v>-118.75</v>
      </c>
      <c r="B622">
        <v>34.25</v>
      </c>
      <c r="C622">
        <v>2025</v>
      </c>
      <c r="D622">
        <v>1</v>
      </c>
      <c r="E622">
        <v>26</v>
      </c>
      <c r="F622">
        <f>Sayfa1!C622-273.15</f>
        <v>10.347222900390648</v>
      </c>
      <c r="G622">
        <v>83.9456787109375</v>
      </c>
      <c r="H622">
        <f>SQRT(Sayfa1!D622^2+Sayfa1!E622^2)</f>
        <v>2.057271301897071</v>
      </c>
      <c r="I622">
        <f>SUM(Sayfa1!G599:G622)</f>
        <v>9.5067024230957031</v>
      </c>
    </row>
    <row r="623" spans="1:9" x14ac:dyDescent="0.3">
      <c r="A623">
        <v>-118.75</v>
      </c>
      <c r="B623">
        <v>34.25</v>
      </c>
      <c r="C623">
        <v>2025</v>
      </c>
      <c r="D623">
        <v>1</v>
      </c>
      <c r="E623">
        <v>26</v>
      </c>
      <c r="F623">
        <f>Sayfa1!C623-273.15</f>
        <v>10.027490234375023</v>
      </c>
      <c r="G623">
        <v>84.14019775390625</v>
      </c>
      <c r="H623">
        <f>SQRT(Sayfa1!D623^2+Sayfa1!E623^2)</f>
        <v>2.3238099610742875</v>
      </c>
      <c r="I623">
        <f>SUM(Sayfa1!G600:G623)</f>
        <v>10.915756225585938</v>
      </c>
    </row>
    <row r="624" spans="1:9" x14ac:dyDescent="0.3">
      <c r="A624">
        <v>-118.75</v>
      </c>
      <c r="B624">
        <v>34.25</v>
      </c>
      <c r="C624">
        <v>2025</v>
      </c>
      <c r="D624">
        <v>1</v>
      </c>
      <c r="E624">
        <v>26</v>
      </c>
      <c r="F624">
        <f>Sayfa1!C624-273.15</f>
        <v>9.5692687988281477</v>
      </c>
      <c r="G624">
        <v>82.048782348632813</v>
      </c>
      <c r="H624">
        <f>SQRT(Sayfa1!D624^2+Sayfa1!E624^2)</f>
        <v>1.5024744101628857</v>
      </c>
      <c r="I624">
        <f>SUM(Sayfa1!G601:G624)</f>
        <v>12.861728668212891</v>
      </c>
    </row>
    <row r="625" spans="1:9" x14ac:dyDescent="0.3">
      <c r="A625">
        <v>-118.75</v>
      </c>
      <c r="B625">
        <v>34.25</v>
      </c>
      <c r="C625">
        <v>2025</v>
      </c>
      <c r="D625">
        <v>1</v>
      </c>
      <c r="E625">
        <v>26</v>
      </c>
      <c r="F625">
        <f>Sayfa1!C625-273.15</f>
        <v>9.8171936035156477</v>
      </c>
      <c r="G625">
        <v>77.379013061523438</v>
      </c>
      <c r="H625">
        <f>SQRT(Sayfa1!D625^2+Sayfa1!E625^2)</f>
        <v>2.0478880583517616</v>
      </c>
      <c r="I625">
        <f>SUM(Sayfa1!G602:G625)</f>
        <v>13.443470001220703</v>
      </c>
    </row>
    <row r="626" spans="1:9" x14ac:dyDescent="0.3">
      <c r="A626">
        <v>-118.75</v>
      </c>
      <c r="B626">
        <v>34.25</v>
      </c>
      <c r="C626">
        <v>2025</v>
      </c>
      <c r="D626">
        <v>1</v>
      </c>
      <c r="E626">
        <v>27</v>
      </c>
      <c r="F626">
        <f>Sayfa1!C626-273.15</f>
        <v>9.3814331054687727</v>
      </c>
      <c r="G626">
        <v>80.990997314453125</v>
      </c>
      <c r="H626">
        <f>SQRT(Sayfa1!D626^2+Sayfa1!E626^2)</f>
        <v>1.6668555048494493</v>
      </c>
      <c r="I626">
        <f>SUM(Sayfa1!G603:G626)</f>
        <v>14.987945556640625</v>
      </c>
    </row>
    <row r="627" spans="1:9" x14ac:dyDescent="0.3">
      <c r="A627">
        <v>-118.75</v>
      </c>
      <c r="B627">
        <v>34.25</v>
      </c>
      <c r="C627">
        <v>2025</v>
      </c>
      <c r="D627">
        <v>1</v>
      </c>
      <c r="E627">
        <v>27</v>
      </c>
      <c r="F627">
        <f>Sayfa1!C627-273.15</f>
        <v>9.4660888671875227</v>
      </c>
      <c r="G627">
        <v>87.35504150390625</v>
      </c>
      <c r="H627">
        <f>SQRT(Sayfa1!D627^2+Sayfa1!E627^2)</f>
        <v>1.4097414088435283</v>
      </c>
      <c r="I627">
        <f>SUM(Sayfa1!G604:G627)</f>
        <v>15.25115966796875</v>
      </c>
    </row>
    <row r="628" spans="1:9" x14ac:dyDescent="0.3">
      <c r="A628">
        <v>-118.75</v>
      </c>
      <c r="B628">
        <v>34.25</v>
      </c>
      <c r="C628">
        <v>2025</v>
      </c>
      <c r="D628">
        <v>1</v>
      </c>
      <c r="E628">
        <v>27</v>
      </c>
      <c r="F628">
        <f>Sayfa1!C628-273.15</f>
        <v>9.3688598632812727</v>
      </c>
      <c r="G628">
        <v>88.080841064453125</v>
      </c>
      <c r="H628">
        <f>SQRT(Sayfa1!D628^2+Sayfa1!E628^2)</f>
        <v>1.4574466921147295</v>
      </c>
      <c r="I628">
        <f>SUM(Sayfa1!G605:G628)</f>
        <v>15.448570251464844</v>
      </c>
    </row>
    <row r="629" spans="1:9" x14ac:dyDescent="0.3">
      <c r="A629">
        <v>-118.75</v>
      </c>
      <c r="B629">
        <v>34.25</v>
      </c>
      <c r="C629">
        <v>2025</v>
      </c>
      <c r="D629">
        <v>1</v>
      </c>
      <c r="E629">
        <v>27</v>
      </c>
      <c r="F629">
        <f>Sayfa1!C629-273.15</f>
        <v>9.3283935546875227</v>
      </c>
      <c r="G629">
        <v>84.117599487304688</v>
      </c>
      <c r="H629">
        <f>SQRT(Sayfa1!D629^2+Sayfa1!E629^2)</f>
        <v>1.641822425932538</v>
      </c>
      <c r="I629">
        <f>SUM(Sayfa1!G606:G629)</f>
        <v>15.480518341064453</v>
      </c>
    </row>
    <row r="630" spans="1:9" x14ac:dyDescent="0.3">
      <c r="A630">
        <v>-118.75</v>
      </c>
      <c r="B630">
        <v>34.25</v>
      </c>
      <c r="C630">
        <v>2025</v>
      </c>
      <c r="D630">
        <v>1</v>
      </c>
      <c r="E630">
        <v>27</v>
      </c>
      <c r="F630">
        <f>Sayfa1!C630-273.15</f>
        <v>8.9979492187500227</v>
      </c>
      <c r="G630">
        <v>83.3177490234375</v>
      </c>
      <c r="H630">
        <f>SQRT(Sayfa1!D630^2+Sayfa1!E630^2)</f>
        <v>2.0915186984335326</v>
      </c>
      <c r="I630">
        <f>SUM(Sayfa1!G607:G630)</f>
        <v>15.29693603515625</v>
      </c>
    </row>
    <row r="631" spans="1:9" x14ac:dyDescent="0.3">
      <c r="A631">
        <v>-118.75</v>
      </c>
      <c r="B631">
        <v>34.25</v>
      </c>
      <c r="C631">
        <v>2025</v>
      </c>
      <c r="D631">
        <v>1</v>
      </c>
      <c r="E631">
        <v>27</v>
      </c>
      <c r="F631">
        <f>Sayfa1!C631-273.15</f>
        <v>8.4175048828125227</v>
      </c>
      <c r="G631">
        <v>85.895782470703125</v>
      </c>
      <c r="H631">
        <f>SQRT(Sayfa1!D631^2+Sayfa1!E631^2)</f>
        <v>2.5800546146281107</v>
      </c>
      <c r="I631">
        <f>SUM(Sayfa1!G608:G631)</f>
        <v>15.311717987060547</v>
      </c>
    </row>
    <row r="632" spans="1:9" x14ac:dyDescent="0.3">
      <c r="A632">
        <v>-118.75</v>
      </c>
      <c r="B632">
        <v>34.25</v>
      </c>
      <c r="C632">
        <v>2025</v>
      </c>
      <c r="D632">
        <v>1</v>
      </c>
      <c r="E632">
        <v>27</v>
      </c>
      <c r="F632">
        <f>Sayfa1!C632-273.15</f>
        <v>7.3422485351562727</v>
      </c>
      <c r="G632">
        <v>90.406814575195313</v>
      </c>
      <c r="H632">
        <f>SQRT(Sayfa1!D632^2+Sayfa1!E632^2)</f>
        <v>2.5820287255481866</v>
      </c>
      <c r="I632">
        <f>SUM(Sayfa1!G609:G632)</f>
        <v>15.308380126953125</v>
      </c>
    </row>
    <row r="633" spans="1:9" x14ac:dyDescent="0.3">
      <c r="A633">
        <v>-118.75</v>
      </c>
      <c r="B633">
        <v>34.25</v>
      </c>
      <c r="C633">
        <v>2025</v>
      </c>
      <c r="D633">
        <v>1</v>
      </c>
      <c r="E633">
        <v>27</v>
      </c>
      <c r="F633">
        <f>Sayfa1!C633-273.15</f>
        <v>6.4151245117187727</v>
      </c>
      <c r="G633">
        <v>90.842193603515625</v>
      </c>
      <c r="H633">
        <f>SQRT(Sayfa1!D633^2+Sayfa1!E633^2)</f>
        <v>2.5522721102067076</v>
      </c>
      <c r="I633">
        <f>SUM(Sayfa1!G610:G633)</f>
        <v>16.173839569091797</v>
      </c>
    </row>
    <row r="634" spans="1:9" x14ac:dyDescent="0.3">
      <c r="A634">
        <v>-118.75</v>
      </c>
      <c r="B634">
        <v>34.25</v>
      </c>
      <c r="C634">
        <v>2025</v>
      </c>
      <c r="D634">
        <v>1</v>
      </c>
      <c r="E634">
        <v>27</v>
      </c>
      <c r="F634">
        <f>Sayfa1!C634-273.15</f>
        <v>6.2218261718750227</v>
      </c>
      <c r="G634">
        <v>90.4608154296875</v>
      </c>
      <c r="H634">
        <f>SQRT(Sayfa1!D634^2+Sayfa1!E634^2)</f>
        <v>2.3179109826883599</v>
      </c>
      <c r="I634">
        <f>SUM(Sayfa1!G611:G634)</f>
        <v>16.365528106689453</v>
      </c>
    </row>
    <row r="635" spans="1:9" x14ac:dyDescent="0.3">
      <c r="A635">
        <v>-118.75</v>
      </c>
      <c r="B635">
        <v>34.25</v>
      </c>
      <c r="C635">
        <v>2025</v>
      </c>
      <c r="D635">
        <v>1</v>
      </c>
      <c r="E635">
        <v>27</v>
      </c>
      <c r="F635">
        <f>Sayfa1!C635-273.15</f>
        <v>6.6949096679687727</v>
      </c>
      <c r="G635">
        <v>88.797317504882813</v>
      </c>
      <c r="H635">
        <f>SQRT(Sayfa1!D635^2+Sayfa1!E635^2)</f>
        <v>2.0554617323487401</v>
      </c>
      <c r="I635">
        <f>SUM(Sayfa1!G612:G635)</f>
        <v>16.179561614990234</v>
      </c>
    </row>
    <row r="636" spans="1:9" x14ac:dyDescent="0.3">
      <c r="A636">
        <v>-118.75</v>
      </c>
      <c r="B636">
        <v>34.25</v>
      </c>
      <c r="C636">
        <v>2025</v>
      </c>
      <c r="D636">
        <v>1</v>
      </c>
      <c r="E636">
        <v>27</v>
      </c>
      <c r="F636">
        <f>Sayfa1!C636-273.15</f>
        <v>8.0946594238281477</v>
      </c>
      <c r="G636">
        <v>85.490386962890625</v>
      </c>
      <c r="H636">
        <f>SQRT(Sayfa1!D636^2+Sayfa1!E636^2)</f>
        <v>1.982120315571952</v>
      </c>
      <c r="I636">
        <f>SUM(Sayfa1!G613:G636)</f>
        <v>15.992641448974609</v>
      </c>
    </row>
    <row r="637" spans="1:9" x14ac:dyDescent="0.3">
      <c r="A637">
        <v>-118.75</v>
      </c>
      <c r="B637">
        <v>34.25</v>
      </c>
      <c r="C637">
        <v>2025</v>
      </c>
      <c r="D637">
        <v>1</v>
      </c>
      <c r="E637">
        <v>27</v>
      </c>
      <c r="F637">
        <f>Sayfa1!C637-273.15</f>
        <v>8.3765808105468977</v>
      </c>
      <c r="G637">
        <v>85.801849365234375</v>
      </c>
      <c r="H637">
        <f>SQRT(Sayfa1!D637^2+Sayfa1!E637^2)</f>
        <v>1.9472765681309392</v>
      </c>
      <c r="I637">
        <f>SUM(Sayfa1!G614:G637)</f>
        <v>15.898704528808594</v>
      </c>
    </row>
    <row r="638" spans="1:9" x14ac:dyDescent="0.3">
      <c r="A638">
        <v>-118.75</v>
      </c>
      <c r="B638">
        <v>34.25</v>
      </c>
      <c r="C638">
        <v>2025</v>
      </c>
      <c r="D638">
        <v>1</v>
      </c>
      <c r="E638">
        <v>27</v>
      </c>
      <c r="F638">
        <f>Sayfa1!C638-273.15</f>
        <v>8.5615783691406477</v>
      </c>
      <c r="G638">
        <v>85.361785888671875</v>
      </c>
      <c r="H638">
        <f>SQRT(Sayfa1!D638^2+Sayfa1!E638^2)</f>
        <v>1.9246236616468246</v>
      </c>
      <c r="I638">
        <f>SUM(Sayfa1!G615:G638)</f>
        <v>15.710353851318359</v>
      </c>
    </row>
    <row r="639" spans="1:9" x14ac:dyDescent="0.3">
      <c r="A639">
        <v>-118.75</v>
      </c>
      <c r="B639">
        <v>34.25</v>
      </c>
      <c r="C639">
        <v>2025</v>
      </c>
      <c r="D639">
        <v>1</v>
      </c>
      <c r="E639">
        <v>27</v>
      </c>
      <c r="F639">
        <f>Sayfa1!C639-273.15</f>
        <v>8.6930175781250227</v>
      </c>
      <c r="G639">
        <v>85.892578125</v>
      </c>
      <c r="H639">
        <f>SQRT(Sayfa1!D639^2+Sayfa1!E639^2)</f>
        <v>1.9147834375006185</v>
      </c>
      <c r="I639">
        <f>SUM(Sayfa1!G616:G639)</f>
        <v>15.393257141113281</v>
      </c>
    </row>
    <row r="640" spans="1:9" x14ac:dyDescent="0.3">
      <c r="A640">
        <v>-118.75</v>
      </c>
      <c r="B640">
        <v>34.25</v>
      </c>
      <c r="C640">
        <v>2025</v>
      </c>
      <c r="D640">
        <v>1</v>
      </c>
      <c r="E640">
        <v>27</v>
      </c>
      <c r="F640">
        <f>Sayfa1!C640-273.15</f>
        <v>8.7647338867187727</v>
      </c>
      <c r="G640">
        <v>87.366989135742188</v>
      </c>
      <c r="H640">
        <f>SQRT(Sayfa1!D640^2+Sayfa1!E640^2)</f>
        <v>1.9417403200424446</v>
      </c>
      <c r="I640">
        <f>SUM(Sayfa1!G617:G640)</f>
        <v>14.975547790527344</v>
      </c>
    </row>
    <row r="641" spans="1:9" x14ac:dyDescent="0.3">
      <c r="A641">
        <v>-118.75</v>
      </c>
      <c r="B641">
        <v>34.25</v>
      </c>
      <c r="C641">
        <v>2025</v>
      </c>
      <c r="D641">
        <v>1</v>
      </c>
      <c r="E641">
        <v>27</v>
      </c>
      <c r="F641">
        <f>Sayfa1!C641-273.15</f>
        <v>8.8200012207031477</v>
      </c>
      <c r="G641">
        <v>88.393600463867188</v>
      </c>
      <c r="H641">
        <f>SQRT(Sayfa1!D641^2+Sayfa1!E641^2)</f>
        <v>1.8700994976292684</v>
      </c>
      <c r="I641">
        <f>SUM(Sayfa1!G618:G641)</f>
        <v>14.242649078369141</v>
      </c>
    </row>
    <row r="642" spans="1:9" x14ac:dyDescent="0.3">
      <c r="A642">
        <v>-118.75</v>
      </c>
      <c r="B642">
        <v>34.25</v>
      </c>
      <c r="C642">
        <v>2025</v>
      </c>
      <c r="D642">
        <v>1</v>
      </c>
      <c r="E642">
        <v>27</v>
      </c>
      <c r="F642">
        <f>Sayfa1!C642-273.15</f>
        <v>8.8644042968750227</v>
      </c>
      <c r="G642">
        <v>91.76043701171875</v>
      </c>
      <c r="H642">
        <f>SQRT(Sayfa1!D642^2+Sayfa1!E642^2)</f>
        <v>1.5605583635851437</v>
      </c>
      <c r="I642">
        <f>SUM(Sayfa1!G619:G642)</f>
        <v>13.054847717285156</v>
      </c>
    </row>
    <row r="643" spans="1:9" x14ac:dyDescent="0.3">
      <c r="A643">
        <v>-118.75</v>
      </c>
      <c r="B643">
        <v>34.25</v>
      </c>
      <c r="C643">
        <v>2025</v>
      </c>
      <c r="D643">
        <v>1</v>
      </c>
      <c r="E643">
        <v>27</v>
      </c>
      <c r="F643">
        <f>Sayfa1!C643-273.15</f>
        <v>9.0169921875000227</v>
      </c>
      <c r="G643">
        <v>88.667205810546875</v>
      </c>
      <c r="H643">
        <f>SQRT(Sayfa1!D643^2+Sayfa1!E643^2)</f>
        <v>1.2952294463571465</v>
      </c>
      <c r="I643">
        <f>SUM(Sayfa1!G620:G643)</f>
        <v>12.636661529541016</v>
      </c>
    </row>
    <row r="644" spans="1:9" x14ac:dyDescent="0.3">
      <c r="A644">
        <v>-118.75</v>
      </c>
      <c r="B644">
        <v>34.25</v>
      </c>
      <c r="C644">
        <v>2025</v>
      </c>
      <c r="D644">
        <v>1</v>
      </c>
      <c r="E644">
        <v>27</v>
      </c>
      <c r="F644">
        <f>Sayfa1!C644-273.15</f>
        <v>9.9169860839843977</v>
      </c>
      <c r="G644">
        <v>67.80926513671875</v>
      </c>
      <c r="H644">
        <f>SQRT(Sayfa1!D644^2+Sayfa1!E644^2)</f>
        <v>1.3263778745987171</v>
      </c>
      <c r="I644">
        <f>SUM(Sayfa1!G621:G644)</f>
        <v>12.010574340820313</v>
      </c>
    </row>
    <row r="645" spans="1:9" x14ac:dyDescent="0.3">
      <c r="A645">
        <v>-118.75</v>
      </c>
      <c r="B645">
        <v>34.25</v>
      </c>
      <c r="C645">
        <v>2025</v>
      </c>
      <c r="D645">
        <v>1</v>
      </c>
      <c r="E645">
        <v>27</v>
      </c>
      <c r="F645">
        <f>Sayfa1!C645-273.15</f>
        <v>11.080926513671898</v>
      </c>
      <c r="G645">
        <v>56.773361206054688</v>
      </c>
      <c r="H645">
        <f>SQRT(Sayfa1!D645^2+Sayfa1!E645^2)</f>
        <v>1.6974957256512848</v>
      </c>
      <c r="I645">
        <f>SUM(Sayfa1!G622:G645)</f>
        <v>10.434627532958984</v>
      </c>
    </row>
    <row r="646" spans="1:9" x14ac:dyDescent="0.3">
      <c r="A646">
        <v>-118.75</v>
      </c>
      <c r="B646">
        <v>34.25</v>
      </c>
      <c r="C646">
        <v>2025</v>
      </c>
      <c r="D646">
        <v>1</v>
      </c>
      <c r="E646">
        <v>27</v>
      </c>
      <c r="F646">
        <f>Sayfa1!C646-273.15</f>
        <v>12.472802734375023</v>
      </c>
      <c r="G646">
        <v>46.0113525390625</v>
      </c>
      <c r="H646">
        <f>SQRT(Sayfa1!D646^2+Sayfa1!E646^2)</f>
        <v>2.6217363114626782</v>
      </c>
      <c r="I646">
        <f>SUM(Sayfa1!G623:G646)</f>
        <v>9.6192359924316406</v>
      </c>
    </row>
    <row r="647" spans="1:9" x14ac:dyDescent="0.3">
      <c r="A647">
        <v>-118.75</v>
      </c>
      <c r="B647">
        <v>34.25</v>
      </c>
      <c r="C647">
        <v>2025</v>
      </c>
      <c r="D647">
        <v>1</v>
      </c>
      <c r="E647">
        <v>27</v>
      </c>
      <c r="F647">
        <f>Sayfa1!C647-273.15</f>
        <v>13.421472167968773</v>
      </c>
      <c r="G647">
        <v>38.939743041992188</v>
      </c>
      <c r="H647">
        <f>SQRT(Sayfa1!D647^2+Sayfa1!E647^2)</f>
        <v>2.4979788912260479</v>
      </c>
      <c r="I647">
        <f>SUM(Sayfa1!G624:G647)</f>
        <v>8.2101821899414063</v>
      </c>
    </row>
    <row r="648" spans="1:9" x14ac:dyDescent="0.3">
      <c r="A648">
        <v>-118.75</v>
      </c>
      <c r="B648">
        <v>34.25</v>
      </c>
      <c r="C648">
        <v>2025</v>
      </c>
      <c r="D648">
        <v>1</v>
      </c>
      <c r="E648">
        <v>27</v>
      </c>
      <c r="F648">
        <f>Sayfa1!C648-273.15</f>
        <v>13.708215332031273</v>
      </c>
      <c r="G648">
        <v>37.146713256835938</v>
      </c>
      <c r="H648">
        <f>SQRT(Sayfa1!D648^2+Sayfa1!E648^2)</f>
        <v>0.62641664399116925</v>
      </c>
      <c r="I648">
        <f>SUM(Sayfa1!G625:G648)</f>
        <v>6.2642097473144531</v>
      </c>
    </row>
    <row r="649" spans="1:9" x14ac:dyDescent="0.3">
      <c r="A649">
        <v>-118.75</v>
      </c>
      <c r="B649">
        <v>34.25</v>
      </c>
      <c r="C649">
        <v>2025</v>
      </c>
      <c r="D649">
        <v>1</v>
      </c>
      <c r="E649">
        <v>27</v>
      </c>
      <c r="F649">
        <f>Sayfa1!C649-273.15</f>
        <v>13.873864746093773</v>
      </c>
      <c r="G649">
        <v>37.770278930664063</v>
      </c>
      <c r="H649">
        <f>SQRT(Sayfa1!D649^2+Sayfa1!E649^2)</f>
        <v>1.2061312927210945</v>
      </c>
      <c r="I649">
        <f>SUM(Sayfa1!G626:G649)</f>
        <v>5.6667327880859375</v>
      </c>
    </row>
    <row r="650" spans="1:9" x14ac:dyDescent="0.3">
      <c r="A650">
        <v>-118.75</v>
      </c>
      <c r="B650">
        <v>34.25</v>
      </c>
      <c r="C650">
        <v>2025</v>
      </c>
      <c r="D650">
        <v>1</v>
      </c>
      <c r="E650">
        <v>28</v>
      </c>
      <c r="F650">
        <f>Sayfa1!C650-273.15</f>
        <v>13.672845458984398</v>
      </c>
      <c r="G650">
        <v>41.227508544921875</v>
      </c>
      <c r="H650">
        <f>SQRT(Sayfa1!D650^2+Sayfa1!E650^2)</f>
        <v>0.93010891664031092</v>
      </c>
      <c r="I650">
        <f>SUM(Sayfa1!G627:G650)</f>
        <v>4.1017532348632813</v>
      </c>
    </row>
    <row r="651" spans="1:9" x14ac:dyDescent="0.3">
      <c r="A651">
        <v>-118.75</v>
      </c>
      <c r="B651">
        <v>34.25</v>
      </c>
      <c r="C651">
        <v>2025</v>
      </c>
      <c r="D651">
        <v>1</v>
      </c>
      <c r="E651">
        <v>28</v>
      </c>
      <c r="F651">
        <f>Sayfa1!C651-273.15</f>
        <v>13.144189453125023</v>
      </c>
      <c r="G651">
        <v>49.217788696289063</v>
      </c>
      <c r="H651">
        <f>SQRT(Sayfa1!D651^2+Sayfa1!E651^2)</f>
        <v>0.85031395572796575</v>
      </c>
      <c r="I651">
        <f>SUM(Sayfa1!G628:G651)</f>
        <v>3.7531852722167969</v>
      </c>
    </row>
    <row r="652" spans="1:9" x14ac:dyDescent="0.3">
      <c r="A652">
        <v>-118.75</v>
      </c>
      <c r="B652">
        <v>34.25</v>
      </c>
      <c r="C652">
        <v>2025</v>
      </c>
      <c r="D652">
        <v>1</v>
      </c>
      <c r="E652">
        <v>28</v>
      </c>
      <c r="F652">
        <f>Sayfa1!C652-273.15</f>
        <v>12.631127929687523</v>
      </c>
      <c r="G652">
        <v>55.764236450195313</v>
      </c>
      <c r="H652">
        <f>SQRT(Sayfa1!D652^2+Sayfa1!E652^2)</f>
        <v>0.98090173082192667</v>
      </c>
      <c r="I652">
        <f>SUM(Sayfa1!G629:G652)</f>
        <v>3.4976005554199219</v>
      </c>
    </row>
    <row r="653" spans="1:9" x14ac:dyDescent="0.3">
      <c r="A653">
        <v>-118.75</v>
      </c>
      <c r="B653">
        <v>34.25</v>
      </c>
      <c r="C653">
        <v>2025</v>
      </c>
      <c r="D653">
        <v>1</v>
      </c>
      <c r="E653">
        <v>28</v>
      </c>
      <c r="F653">
        <f>Sayfa1!C653-273.15</f>
        <v>12.269616699218773</v>
      </c>
      <c r="G653">
        <v>60.216445922851563</v>
      </c>
      <c r="H653">
        <f>SQRT(Sayfa1!D653^2+Sayfa1!E653^2)</f>
        <v>0.85698053945969621</v>
      </c>
      <c r="I653">
        <f>SUM(Sayfa1!G630:G653)</f>
        <v>3.1890869140625</v>
      </c>
    </row>
    <row r="654" spans="1:9" x14ac:dyDescent="0.3">
      <c r="A654">
        <v>-118.75</v>
      </c>
      <c r="B654">
        <v>34.25</v>
      </c>
      <c r="C654">
        <v>2025</v>
      </c>
      <c r="D654">
        <v>1</v>
      </c>
      <c r="E654">
        <v>28</v>
      </c>
      <c r="F654">
        <f>Sayfa1!C654-273.15</f>
        <v>12.048638916015648</v>
      </c>
      <c r="G654">
        <v>64.51934814453125</v>
      </c>
      <c r="H654">
        <f>SQRT(Sayfa1!D654^2+Sayfa1!E654^2)</f>
        <v>0.89176319212115696</v>
      </c>
      <c r="I654">
        <f>SUM(Sayfa1!G631:G654)</f>
        <v>2.9292106628417969</v>
      </c>
    </row>
    <row r="655" spans="1:9" x14ac:dyDescent="0.3">
      <c r="A655">
        <v>-118.75</v>
      </c>
      <c r="B655">
        <v>34.25</v>
      </c>
      <c r="C655">
        <v>2025</v>
      </c>
      <c r="D655">
        <v>1</v>
      </c>
      <c r="E655">
        <v>28</v>
      </c>
      <c r="F655">
        <f>Sayfa1!C655-273.15</f>
        <v>11.994073486328148</v>
      </c>
      <c r="G655">
        <v>69.94097900390625</v>
      </c>
      <c r="H655">
        <f>SQRT(Sayfa1!D655^2+Sayfa1!E655^2)</f>
        <v>1.2345372758993072</v>
      </c>
      <c r="I655">
        <f>SUM(Sayfa1!G632:G655)</f>
        <v>2.6459693908691406</v>
      </c>
    </row>
    <row r="656" spans="1:9" x14ac:dyDescent="0.3">
      <c r="A656">
        <v>-118.75</v>
      </c>
      <c r="B656">
        <v>34.25</v>
      </c>
      <c r="C656">
        <v>2025</v>
      </c>
      <c r="D656">
        <v>1</v>
      </c>
      <c r="E656">
        <v>28</v>
      </c>
      <c r="F656">
        <f>Sayfa1!C656-273.15</f>
        <v>11.970697021484398</v>
      </c>
      <c r="G656">
        <v>76.408676147460938</v>
      </c>
      <c r="H656">
        <f>SQRT(Sayfa1!D656^2+Sayfa1!E656^2)</f>
        <v>1.4601468941424265</v>
      </c>
      <c r="I656">
        <f>SUM(Sayfa1!G633:G656)</f>
        <v>2.4309158325195313</v>
      </c>
    </row>
    <row r="657" spans="1:9" x14ac:dyDescent="0.3">
      <c r="A657">
        <v>-118.75</v>
      </c>
      <c r="B657">
        <v>34.25</v>
      </c>
      <c r="C657">
        <v>2025</v>
      </c>
      <c r="D657">
        <v>1</v>
      </c>
      <c r="E657">
        <v>28</v>
      </c>
      <c r="F657">
        <f>Sayfa1!C657-273.15</f>
        <v>11.832635498046898</v>
      </c>
      <c r="G657">
        <v>80.52783203125</v>
      </c>
      <c r="H657">
        <f>SQRT(Sayfa1!D657^2+Sayfa1!E657^2)</f>
        <v>1.6112629149708824</v>
      </c>
      <c r="I657">
        <f>SUM(Sayfa1!G634:G657)</f>
        <v>1.3031959533691406</v>
      </c>
    </row>
    <row r="658" spans="1:9" x14ac:dyDescent="0.3">
      <c r="A658">
        <v>-118.75</v>
      </c>
      <c r="B658">
        <v>34.25</v>
      </c>
      <c r="C658">
        <v>2025</v>
      </c>
      <c r="D658">
        <v>1</v>
      </c>
      <c r="E658">
        <v>28</v>
      </c>
      <c r="F658">
        <f>Sayfa1!C658-273.15</f>
        <v>11.784204101562523</v>
      </c>
      <c r="G658">
        <v>81.050079345703125</v>
      </c>
      <c r="H658">
        <f>SQRT(Sayfa1!D658^2+Sayfa1!E658^2)</f>
        <v>1.6998529388701356</v>
      </c>
      <c r="I658">
        <f>SUM(Sayfa1!G635:G658)</f>
        <v>0.76341629028320313</v>
      </c>
    </row>
    <row r="659" spans="1:9" x14ac:dyDescent="0.3">
      <c r="A659">
        <v>-118.75</v>
      </c>
      <c r="B659">
        <v>34.25</v>
      </c>
      <c r="C659">
        <v>2025</v>
      </c>
      <c r="D659">
        <v>1</v>
      </c>
      <c r="E659">
        <v>28</v>
      </c>
      <c r="F659">
        <f>Sayfa1!C659-273.15</f>
        <v>11.650170898437523</v>
      </c>
      <c r="G659">
        <v>79.860977172851563</v>
      </c>
      <c r="H659">
        <f>SQRT(Sayfa1!D659^2+Sayfa1!E659^2)</f>
        <v>1.7732156020508854</v>
      </c>
      <c r="I659">
        <f>SUM(Sayfa1!G636:G659)</f>
        <v>0.59461593627929688</v>
      </c>
    </row>
    <row r="660" spans="1:9" x14ac:dyDescent="0.3">
      <c r="A660">
        <v>-118.75</v>
      </c>
      <c r="B660">
        <v>34.25</v>
      </c>
      <c r="C660">
        <v>2025</v>
      </c>
      <c r="D660">
        <v>1</v>
      </c>
      <c r="E660">
        <v>28</v>
      </c>
      <c r="F660">
        <f>Sayfa1!C660-273.15</f>
        <v>10.532373046875023</v>
      </c>
      <c r="G660">
        <v>83.994033813476563</v>
      </c>
      <c r="H660">
        <f>SQRT(Sayfa1!D660^2+Sayfa1!E660^2)</f>
        <v>2.053894686006605</v>
      </c>
      <c r="I660">
        <f>SUM(Sayfa1!G637:G660)</f>
        <v>0.52499771118164063</v>
      </c>
    </row>
    <row r="661" spans="1:9" x14ac:dyDescent="0.3">
      <c r="A661">
        <v>-118.75</v>
      </c>
      <c r="B661">
        <v>34.25</v>
      </c>
      <c r="C661">
        <v>2025</v>
      </c>
      <c r="D661">
        <v>1</v>
      </c>
      <c r="E661">
        <v>28</v>
      </c>
      <c r="F661">
        <f>Sayfa1!C661-273.15</f>
        <v>10.484704589843773</v>
      </c>
      <c r="G661">
        <v>76.721603393554688</v>
      </c>
      <c r="H661">
        <f>SQRT(Sayfa1!D661^2+Sayfa1!E661^2)</f>
        <v>1.9866221416265104</v>
      </c>
      <c r="I661">
        <f>SUM(Sayfa1!G638:G661)</f>
        <v>0.47636032104492188</v>
      </c>
    </row>
    <row r="662" spans="1:9" x14ac:dyDescent="0.3">
      <c r="A662">
        <v>-118.75</v>
      </c>
      <c r="B662">
        <v>34.25</v>
      </c>
      <c r="C662">
        <v>2025</v>
      </c>
      <c r="D662">
        <v>1</v>
      </c>
      <c r="E662">
        <v>28</v>
      </c>
      <c r="F662">
        <f>Sayfa1!C662-273.15</f>
        <v>10.502954101562523</v>
      </c>
      <c r="G662">
        <v>75.243637084960938</v>
      </c>
      <c r="H662">
        <f>SQRT(Sayfa1!D662^2+Sayfa1!E662^2)</f>
        <v>1.955077456725232</v>
      </c>
      <c r="I662">
        <f>SUM(Sayfa1!G639:G662)</f>
        <v>0.42629241943359375</v>
      </c>
    </row>
    <row r="663" spans="1:9" x14ac:dyDescent="0.3">
      <c r="A663">
        <v>-118.75</v>
      </c>
      <c r="B663">
        <v>34.25</v>
      </c>
      <c r="C663">
        <v>2025</v>
      </c>
      <c r="D663">
        <v>1</v>
      </c>
      <c r="E663">
        <v>28</v>
      </c>
      <c r="F663">
        <f>Sayfa1!C663-273.15</f>
        <v>10.477624511718773</v>
      </c>
      <c r="G663">
        <v>74.00579833984375</v>
      </c>
      <c r="H663">
        <f>SQRT(Sayfa1!D663^2+Sayfa1!E663^2)</f>
        <v>2.068857419853229</v>
      </c>
      <c r="I663">
        <f>SUM(Sayfa1!G640:G663)</f>
        <v>0.36191940307617188</v>
      </c>
    </row>
    <row r="664" spans="1:9" x14ac:dyDescent="0.3">
      <c r="A664">
        <v>-118.75</v>
      </c>
      <c r="B664">
        <v>34.25</v>
      </c>
      <c r="C664">
        <v>2025</v>
      </c>
      <c r="D664">
        <v>1</v>
      </c>
      <c r="E664">
        <v>28</v>
      </c>
      <c r="F664">
        <f>Sayfa1!C664-273.15</f>
        <v>10.344567871093773</v>
      </c>
      <c r="G664">
        <v>73.341354370117188</v>
      </c>
      <c r="H664">
        <f>SQRT(Sayfa1!D664^2+Sayfa1!E664^2)</f>
        <v>2.1184992809660828</v>
      </c>
      <c r="I664">
        <f>SUM(Sayfa1!G641:G664)</f>
        <v>0.21886825561523438</v>
      </c>
    </row>
    <row r="665" spans="1:9" x14ac:dyDescent="0.3">
      <c r="A665">
        <v>-118.75</v>
      </c>
      <c r="B665">
        <v>34.25</v>
      </c>
      <c r="C665">
        <v>2025</v>
      </c>
      <c r="D665">
        <v>1</v>
      </c>
      <c r="E665">
        <v>28</v>
      </c>
      <c r="F665">
        <f>Sayfa1!C665-273.15</f>
        <v>10.172204589843773</v>
      </c>
      <c r="G665">
        <v>72.679489135742188</v>
      </c>
      <c r="H665">
        <f>SQRT(Sayfa1!D665^2+Sayfa1!E665^2)</f>
        <v>2.0282318711685647</v>
      </c>
      <c r="I665">
        <f>SUM(Sayfa1!G642:G665)</f>
        <v>0.11730194091796875</v>
      </c>
    </row>
    <row r="666" spans="1:9" x14ac:dyDescent="0.3">
      <c r="A666">
        <v>-118.75</v>
      </c>
      <c r="B666">
        <v>34.25</v>
      </c>
      <c r="C666">
        <v>2025</v>
      </c>
      <c r="D666">
        <v>1</v>
      </c>
      <c r="E666">
        <v>28</v>
      </c>
      <c r="F666">
        <f>Sayfa1!C666-273.15</f>
        <v>10.142175292968773</v>
      </c>
      <c r="G666">
        <v>69.376937866210938</v>
      </c>
      <c r="H666">
        <f>SQRT(Sayfa1!D666^2+Sayfa1!E666^2)</f>
        <v>1.6728002796591015</v>
      </c>
      <c r="I666">
        <f>SUM(Sayfa1!G643:G666)</f>
        <v>4.1961669921875E-2</v>
      </c>
    </row>
    <row r="667" spans="1:9" x14ac:dyDescent="0.3">
      <c r="A667">
        <v>-118.75</v>
      </c>
      <c r="B667">
        <v>34.25</v>
      </c>
      <c r="C667">
        <v>2025</v>
      </c>
      <c r="D667">
        <v>1</v>
      </c>
      <c r="E667">
        <v>28</v>
      </c>
      <c r="F667">
        <f>Sayfa1!C667-273.15</f>
        <v>10.531884765625023</v>
      </c>
      <c r="G667">
        <v>56.378463745117188</v>
      </c>
      <c r="H667">
        <f>SQRT(Sayfa1!D667^2+Sayfa1!E667^2)</f>
        <v>1.155960334779718</v>
      </c>
      <c r="I667">
        <f>SUM(Sayfa1!G644:G667)</f>
        <v>0</v>
      </c>
    </row>
    <row r="668" spans="1:9" x14ac:dyDescent="0.3">
      <c r="A668">
        <v>-118.75</v>
      </c>
      <c r="B668">
        <v>34.25</v>
      </c>
      <c r="C668">
        <v>2025</v>
      </c>
      <c r="D668">
        <v>1</v>
      </c>
      <c r="E668">
        <v>28</v>
      </c>
      <c r="F668">
        <f>Sayfa1!C668-273.15</f>
        <v>11.467675781250023</v>
      </c>
      <c r="G668">
        <v>42.32684326171875</v>
      </c>
      <c r="H668">
        <f>SQRT(Sayfa1!D668^2+Sayfa1!E668^2)</f>
        <v>0.39129580984279849</v>
      </c>
      <c r="I668">
        <f>SUM(Sayfa1!G645:G668)</f>
        <v>0</v>
      </c>
    </row>
    <row r="669" spans="1:9" x14ac:dyDescent="0.3">
      <c r="A669">
        <v>-118.75</v>
      </c>
      <c r="B669">
        <v>34.25</v>
      </c>
      <c r="C669">
        <v>2025</v>
      </c>
      <c r="D669">
        <v>1</v>
      </c>
      <c r="E669">
        <v>28</v>
      </c>
      <c r="F669">
        <f>Sayfa1!C669-273.15</f>
        <v>12.942651367187523</v>
      </c>
      <c r="G669">
        <v>39.047943115234375</v>
      </c>
      <c r="H669">
        <f>SQRT(Sayfa1!D669^2+Sayfa1!E669^2)</f>
        <v>0.87264251638946477</v>
      </c>
      <c r="I669">
        <f>SUM(Sayfa1!G646:G669)</f>
        <v>0</v>
      </c>
    </row>
    <row r="670" spans="1:9" x14ac:dyDescent="0.3">
      <c r="A670">
        <v>-118.75</v>
      </c>
      <c r="B670">
        <v>34.25</v>
      </c>
      <c r="C670">
        <v>2025</v>
      </c>
      <c r="D670">
        <v>1</v>
      </c>
      <c r="E670">
        <v>28</v>
      </c>
      <c r="F670">
        <f>Sayfa1!C670-273.15</f>
        <v>13.619287109375023</v>
      </c>
      <c r="G670">
        <v>41.240066528320313</v>
      </c>
      <c r="H670">
        <f>SQRT(Sayfa1!D670^2+Sayfa1!E670^2)</f>
        <v>1.9091295456460413</v>
      </c>
      <c r="I670">
        <f>SUM(Sayfa1!G647:G670)</f>
        <v>0</v>
      </c>
    </row>
    <row r="671" spans="1:9" x14ac:dyDescent="0.3">
      <c r="A671">
        <v>-118.75</v>
      </c>
      <c r="B671">
        <v>34.25</v>
      </c>
      <c r="C671">
        <v>2025</v>
      </c>
      <c r="D671">
        <v>1</v>
      </c>
      <c r="E671">
        <v>28</v>
      </c>
      <c r="F671">
        <f>Sayfa1!C671-273.15</f>
        <v>13.801721191406273</v>
      </c>
      <c r="G671">
        <v>47.661148071289063</v>
      </c>
      <c r="H671">
        <f>SQRT(Sayfa1!D671^2+Sayfa1!E671^2)</f>
        <v>2.7067413213092557</v>
      </c>
      <c r="I671">
        <f>SUM(Sayfa1!G648:G671)</f>
        <v>0</v>
      </c>
    </row>
    <row r="672" spans="1:9" x14ac:dyDescent="0.3">
      <c r="A672">
        <v>-118.75</v>
      </c>
      <c r="B672">
        <v>34.25</v>
      </c>
      <c r="C672">
        <v>2025</v>
      </c>
      <c r="D672">
        <v>1</v>
      </c>
      <c r="E672">
        <v>28</v>
      </c>
      <c r="F672">
        <f>Sayfa1!C672-273.15</f>
        <v>13.759545898437523</v>
      </c>
      <c r="G672">
        <v>55.944076538085938</v>
      </c>
      <c r="H672">
        <f>SQRT(Sayfa1!D672^2+Sayfa1!E672^2)</f>
        <v>2.6267829012493435</v>
      </c>
      <c r="I672">
        <f>SUM(Sayfa1!G649:G672)</f>
        <v>0</v>
      </c>
    </row>
    <row r="673" spans="1:9" x14ac:dyDescent="0.3">
      <c r="A673">
        <v>-118.75</v>
      </c>
      <c r="B673">
        <v>34.25</v>
      </c>
      <c r="C673">
        <v>2025</v>
      </c>
      <c r="D673">
        <v>1</v>
      </c>
      <c r="E673">
        <v>28</v>
      </c>
      <c r="F673">
        <f>Sayfa1!C673-273.15</f>
        <v>13.476403808593773</v>
      </c>
      <c r="G673">
        <v>63.040664672851563</v>
      </c>
      <c r="H673">
        <f>SQRT(Sayfa1!D673^2+Sayfa1!E673^2)</f>
        <v>2.6575037768876864</v>
      </c>
      <c r="I673">
        <f>SUM(Sayfa1!G650:G673)</f>
        <v>0</v>
      </c>
    </row>
    <row r="674" spans="1:9" x14ac:dyDescent="0.3">
      <c r="A674">
        <v>-118.75</v>
      </c>
      <c r="B674">
        <v>34.25</v>
      </c>
      <c r="C674">
        <v>2025</v>
      </c>
      <c r="D674">
        <v>1</v>
      </c>
      <c r="E674">
        <v>29</v>
      </c>
      <c r="F674">
        <f>Sayfa1!C674-273.15</f>
        <v>13.067773437500023</v>
      </c>
      <c r="G674">
        <v>68.999069213867188</v>
      </c>
      <c r="H674">
        <f>SQRT(Sayfa1!D674^2+Sayfa1!E674^2)</f>
        <v>2.3491315500490142</v>
      </c>
      <c r="I674">
        <f>SUM(Sayfa1!G651:G674)</f>
        <v>0</v>
      </c>
    </row>
    <row r="675" spans="1:9" x14ac:dyDescent="0.3">
      <c r="A675">
        <v>-118.75</v>
      </c>
      <c r="B675">
        <v>34.25</v>
      </c>
      <c r="C675">
        <v>2025</v>
      </c>
      <c r="D675">
        <v>1</v>
      </c>
      <c r="E675">
        <v>29</v>
      </c>
      <c r="F675">
        <f>Sayfa1!C675-273.15</f>
        <v>12.391198730468773</v>
      </c>
      <c r="G675">
        <v>78.05291748046875</v>
      </c>
      <c r="H675">
        <f>SQRT(Sayfa1!D675^2+Sayfa1!E675^2)</f>
        <v>1.4157892054372809</v>
      </c>
      <c r="I675">
        <f>SUM(Sayfa1!G652:G675)</f>
        <v>0</v>
      </c>
    </row>
    <row r="676" spans="1:9" x14ac:dyDescent="0.3">
      <c r="A676">
        <v>-118.75</v>
      </c>
      <c r="B676">
        <v>34.25</v>
      </c>
      <c r="C676">
        <v>2025</v>
      </c>
      <c r="D676">
        <v>1</v>
      </c>
      <c r="E676">
        <v>29</v>
      </c>
      <c r="F676">
        <f>Sayfa1!C676-273.15</f>
        <v>11.861291503906273</v>
      </c>
      <c r="G676">
        <v>85.433197021484375</v>
      </c>
      <c r="H676">
        <f>SQRT(Sayfa1!D676^2+Sayfa1!E676^2)</f>
        <v>1.2211346852385598</v>
      </c>
      <c r="I676">
        <f>SUM(Sayfa1!G653:G676)</f>
        <v>0</v>
      </c>
    </row>
    <row r="677" spans="1:9" x14ac:dyDescent="0.3">
      <c r="A677">
        <v>-118.75</v>
      </c>
      <c r="B677">
        <v>34.25</v>
      </c>
      <c r="C677">
        <v>2025</v>
      </c>
      <c r="D677">
        <v>1</v>
      </c>
      <c r="E677">
        <v>29</v>
      </c>
      <c r="F677">
        <f>Sayfa1!C677-273.15</f>
        <v>11.507104492187523</v>
      </c>
      <c r="G677">
        <v>90.017745971679688</v>
      </c>
      <c r="H677">
        <f>SQRT(Sayfa1!D677^2+Sayfa1!E677^2)</f>
        <v>1.1541548987961161</v>
      </c>
      <c r="I677">
        <f>SUM(Sayfa1!G654:G677)</f>
        <v>0</v>
      </c>
    </row>
    <row r="678" spans="1:9" x14ac:dyDescent="0.3">
      <c r="A678">
        <v>-118.75</v>
      </c>
      <c r="B678">
        <v>34.25</v>
      </c>
      <c r="C678">
        <v>2025</v>
      </c>
      <c r="D678">
        <v>1</v>
      </c>
      <c r="E678">
        <v>29</v>
      </c>
      <c r="F678">
        <f>Sayfa1!C678-273.15</f>
        <v>11.183251953125023</v>
      </c>
      <c r="G678">
        <v>92.763626098632813</v>
      </c>
      <c r="H678">
        <f>SQRT(Sayfa1!D678^2+Sayfa1!E678^2)</f>
        <v>0.98447788666814429</v>
      </c>
      <c r="I678">
        <f>SUM(Sayfa1!G655:G678)</f>
        <v>0</v>
      </c>
    </row>
    <row r="679" spans="1:9" x14ac:dyDescent="0.3">
      <c r="A679">
        <v>-118.75</v>
      </c>
      <c r="B679">
        <v>34.25</v>
      </c>
      <c r="C679">
        <v>2025</v>
      </c>
      <c r="D679">
        <v>1</v>
      </c>
      <c r="E679">
        <v>29</v>
      </c>
      <c r="F679">
        <f>Sayfa1!C679-273.15</f>
        <v>10.884545898437523</v>
      </c>
      <c r="G679">
        <v>93.562225341796875</v>
      </c>
      <c r="H679">
        <f>SQRT(Sayfa1!D679^2+Sayfa1!E679^2)</f>
        <v>1.0017579807224457</v>
      </c>
      <c r="I679">
        <f>SUM(Sayfa1!G656:G679)</f>
        <v>0</v>
      </c>
    </row>
    <row r="680" spans="1:9" x14ac:dyDescent="0.3">
      <c r="A680">
        <v>-118.75</v>
      </c>
      <c r="B680">
        <v>34.25</v>
      </c>
      <c r="C680">
        <v>2025</v>
      </c>
      <c r="D680">
        <v>1</v>
      </c>
      <c r="E680">
        <v>29</v>
      </c>
      <c r="F680">
        <f>Sayfa1!C680-273.15</f>
        <v>10.626245117187523</v>
      </c>
      <c r="G680">
        <v>93.562484741210938</v>
      </c>
      <c r="H680">
        <f>SQRT(Sayfa1!D680^2+Sayfa1!E680^2)</f>
        <v>1.1223474195458663</v>
      </c>
      <c r="I680">
        <f>SUM(Sayfa1!G657:G680)</f>
        <v>0</v>
      </c>
    </row>
    <row r="681" spans="1:9" x14ac:dyDescent="0.3">
      <c r="A681">
        <v>-118.75</v>
      </c>
      <c r="B681">
        <v>34.25</v>
      </c>
      <c r="C681">
        <v>2025</v>
      </c>
      <c r="D681">
        <v>1</v>
      </c>
      <c r="E681">
        <v>29</v>
      </c>
      <c r="F681">
        <f>Sayfa1!C681-273.15</f>
        <v>10.446374511718773</v>
      </c>
      <c r="G681">
        <v>93.13983154296875</v>
      </c>
      <c r="H681">
        <f>SQRT(Sayfa1!D681^2+Sayfa1!E681^2)</f>
        <v>1.3348459161608059</v>
      </c>
      <c r="I681">
        <f>SUM(Sayfa1!G658:G681)</f>
        <v>2.384185791015625E-3</v>
      </c>
    </row>
    <row r="682" spans="1:9" x14ac:dyDescent="0.3">
      <c r="A682">
        <v>-118.75</v>
      </c>
      <c r="B682">
        <v>34.25</v>
      </c>
      <c r="C682">
        <v>2025</v>
      </c>
      <c r="D682">
        <v>1</v>
      </c>
      <c r="E682">
        <v>29</v>
      </c>
      <c r="F682">
        <f>Sayfa1!C682-273.15</f>
        <v>10.315118408203148</v>
      </c>
      <c r="G682">
        <v>91.58404541015625</v>
      </c>
      <c r="H682">
        <f>SQRT(Sayfa1!D682^2+Sayfa1!E682^2)</f>
        <v>1.5602062544243571</v>
      </c>
      <c r="I682">
        <f>SUM(Sayfa1!G659:G682)</f>
        <v>6.67572021484375E-3</v>
      </c>
    </row>
    <row r="683" spans="1:9" x14ac:dyDescent="0.3">
      <c r="A683">
        <v>-118.75</v>
      </c>
      <c r="B683">
        <v>34.25</v>
      </c>
      <c r="C683">
        <v>2025</v>
      </c>
      <c r="D683">
        <v>1</v>
      </c>
      <c r="E683">
        <v>29</v>
      </c>
      <c r="F683">
        <f>Sayfa1!C683-273.15</f>
        <v>10.270562744140648</v>
      </c>
      <c r="G683">
        <v>87.754837036132813</v>
      </c>
      <c r="H683">
        <f>SQRT(Sayfa1!D683^2+Sayfa1!E683^2)</f>
        <v>1.6744399066214515</v>
      </c>
      <c r="I683">
        <f>SUM(Sayfa1!G660:G683)</f>
        <v>1.1444091796875E-2</v>
      </c>
    </row>
    <row r="684" spans="1:9" x14ac:dyDescent="0.3">
      <c r="A684">
        <v>-118.75</v>
      </c>
      <c r="B684">
        <v>34.25</v>
      </c>
      <c r="C684">
        <v>2025</v>
      </c>
      <c r="D684">
        <v>1</v>
      </c>
      <c r="E684">
        <v>29</v>
      </c>
      <c r="F684">
        <f>Sayfa1!C684-273.15</f>
        <v>9.6926818847656477</v>
      </c>
      <c r="G684">
        <v>86.881759643554688</v>
      </c>
      <c r="H684">
        <f>SQRT(Sayfa1!D684^2+Sayfa1!E684^2)</f>
        <v>1.8243678035763427</v>
      </c>
      <c r="I684">
        <f>SUM(Sayfa1!G661:G684)</f>
        <v>1.239776611328125E-2</v>
      </c>
    </row>
    <row r="685" spans="1:9" x14ac:dyDescent="0.3">
      <c r="A685">
        <v>-118.75</v>
      </c>
      <c r="B685">
        <v>34.25</v>
      </c>
      <c r="C685">
        <v>2025</v>
      </c>
      <c r="D685">
        <v>1</v>
      </c>
      <c r="E685">
        <v>29</v>
      </c>
      <c r="F685">
        <f>Sayfa1!C685-273.15</f>
        <v>9.9945617675781477</v>
      </c>
      <c r="G685">
        <v>84.678146362304688</v>
      </c>
      <c r="H685">
        <f>SQRT(Sayfa1!D685^2+Sayfa1!E685^2)</f>
        <v>1.6923112206138895</v>
      </c>
      <c r="I685">
        <f>SUM(Sayfa1!G662:G685)</f>
        <v>1.239776611328125E-2</v>
      </c>
    </row>
    <row r="686" spans="1:9" x14ac:dyDescent="0.3">
      <c r="A686">
        <v>-118.75</v>
      </c>
      <c r="B686">
        <v>34.25</v>
      </c>
      <c r="C686">
        <v>2025</v>
      </c>
      <c r="D686">
        <v>1</v>
      </c>
      <c r="E686">
        <v>29</v>
      </c>
      <c r="F686">
        <f>Sayfa1!C686-273.15</f>
        <v>10.116479492187523</v>
      </c>
      <c r="G686">
        <v>83.611785888671875</v>
      </c>
      <c r="H686">
        <f>SQRT(Sayfa1!D686^2+Sayfa1!E686^2)</f>
        <v>1.5018754643408225</v>
      </c>
      <c r="I686">
        <f>SUM(Sayfa1!G663:G686)</f>
        <v>1.239776611328125E-2</v>
      </c>
    </row>
    <row r="687" spans="1:9" x14ac:dyDescent="0.3">
      <c r="A687">
        <v>-118.75</v>
      </c>
      <c r="B687">
        <v>34.25</v>
      </c>
      <c r="C687">
        <v>2025</v>
      </c>
      <c r="D687">
        <v>1</v>
      </c>
      <c r="E687">
        <v>29</v>
      </c>
      <c r="F687">
        <f>Sayfa1!C687-273.15</f>
        <v>10.111505126953148</v>
      </c>
      <c r="G687">
        <v>82.967208862304688</v>
      </c>
      <c r="H687">
        <f>SQRT(Sayfa1!D687^2+Sayfa1!E687^2)</f>
        <v>1.6312339953492891</v>
      </c>
      <c r="I687">
        <f>SUM(Sayfa1!G664:G687)</f>
        <v>1.239776611328125E-2</v>
      </c>
    </row>
    <row r="688" spans="1:9" x14ac:dyDescent="0.3">
      <c r="A688">
        <v>-118.75</v>
      </c>
      <c r="B688">
        <v>34.25</v>
      </c>
      <c r="C688">
        <v>2025</v>
      </c>
      <c r="D688">
        <v>1</v>
      </c>
      <c r="E688">
        <v>29</v>
      </c>
      <c r="F688">
        <f>Sayfa1!C688-273.15</f>
        <v>10.171014404296898</v>
      </c>
      <c r="G688">
        <v>81.352737426757813</v>
      </c>
      <c r="H688">
        <f>SQRT(Sayfa1!D688^2+Sayfa1!E688^2)</f>
        <v>1.7023393083649463</v>
      </c>
      <c r="I688">
        <f>SUM(Sayfa1!G665:G688)</f>
        <v>1.239776611328125E-2</v>
      </c>
    </row>
    <row r="689" spans="1:9" x14ac:dyDescent="0.3">
      <c r="A689">
        <v>-118.75</v>
      </c>
      <c r="B689">
        <v>34.25</v>
      </c>
      <c r="C689">
        <v>2025</v>
      </c>
      <c r="D689">
        <v>1</v>
      </c>
      <c r="E689">
        <v>29</v>
      </c>
      <c r="F689">
        <f>Sayfa1!C689-273.15</f>
        <v>10.210412597656273</v>
      </c>
      <c r="G689">
        <v>80.627960205078125</v>
      </c>
      <c r="H689">
        <f>SQRT(Sayfa1!D689^2+Sayfa1!E689^2)</f>
        <v>1.6923146061462095</v>
      </c>
      <c r="I689">
        <f>SUM(Sayfa1!G666:G689)</f>
        <v>1.239776611328125E-2</v>
      </c>
    </row>
    <row r="690" spans="1:9" x14ac:dyDescent="0.3">
      <c r="A690">
        <v>-118.75</v>
      </c>
      <c r="B690">
        <v>34.25</v>
      </c>
      <c r="C690">
        <v>2025</v>
      </c>
      <c r="D690">
        <v>1</v>
      </c>
      <c r="E690">
        <v>29</v>
      </c>
      <c r="F690">
        <f>Sayfa1!C690-273.15</f>
        <v>10.186303710937523</v>
      </c>
      <c r="G690">
        <v>76.456222534179688</v>
      </c>
      <c r="H690">
        <f>SQRT(Sayfa1!D690^2+Sayfa1!E690^2)</f>
        <v>1.1766623051654064</v>
      </c>
      <c r="I690">
        <f>SUM(Sayfa1!G667:G690)</f>
        <v>1.239776611328125E-2</v>
      </c>
    </row>
    <row r="691" spans="1:9" x14ac:dyDescent="0.3">
      <c r="A691">
        <v>-118.75</v>
      </c>
      <c r="B691">
        <v>34.25</v>
      </c>
      <c r="C691">
        <v>2025</v>
      </c>
      <c r="D691">
        <v>1</v>
      </c>
      <c r="E691">
        <v>29</v>
      </c>
      <c r="F691">
        <f>Sayfa1!C691-273.15</f>
        <v>10.220758056640648</v>
      </c>
      <c r="G691">
        <v>61.262496948242188</v>
      </c>
      <c r="H691">
        <f>SQRT(Sayfa1!D691^2+Sayfa1!E691^2)</f>
        <v>0.53539068528096667</v>
      </c>
      <c r="I691">
        <f>SUM(Sayfa1!G668:G691)</f>
        <v>1.239776611328125E-2</v>
      </c>
    </row>
    <row r="692" spans="1:9" x14ac:dyDescent="0.3">
      <c r="A692">
        <v>-118.75</v>
      </c>
      <c r="B692">
        <v>34.25</v>
      </c>
      <c r="C692">
        <v>2025</v>
      </c>
      <c r="D692">
        <v>1</v>
      </c>
      <c r="E692">
        <v>29</v>
      </c>
      <c r="F692">
        <f>Sayfa1!C692-273.15</f>
        <v>11.045983886718773</v>
      </c>
      <c r="G692">
        <v>55.114166259765625</v>
      </c>
      <c r="H692">
        <f>SQRT(Sayfa1!D692^2+Sayfa1!E692^2)</f>
        <v>0.52519693668748468</v>
      </c>
      <c r="I692">
        <f>SUM(Sayfa1!G669:G692)</f>
        <v>1.239776611328125E-2</v>
      </c>
    </row>
    <row r="693" spans="1:9" x14ac:dyDescent="0.3">
      <c r="A693">
        <v>-118.75</v>
      </c>
      <c r="B693">
        <v>34.25</v>
      </c>
      <c r="C693">
        <v>2025</v>
      </c>
      <c r="D693">
        <v>1</v>
      </c>
      <c r="E693">
        <v>29</v>
      </c>
      <c r="F693">
        <f>Sayfa1!C693-273.15</f>
        <v>12.109582519531273</v>
      </c>
      <c r="G693">
        <v>54.526611328125</v>
      </c>
      <c r="H693">
        <f>SQRT(Sayfa1!D693^2+Sayfa1!E693^2)</f>
        <v>0.98606728714125413</v>
      </c>
      <c r="I693">
        <f>SUM(Sayfa1!G670:G693)</f>
        <v>1.239776611328125E-2</v>
      </c>
    </row>
    <row r="694" spans="1:9" x14ac:dyDescent="0.3">
      <c r="A694">
        <v>-118.75</v>
      </c>
      <c r="B694">
        <v>34.25</v>
      </c>
      <c r="C694">
        <v>2025</v>
      </c>
      <c r="D694">
        <v>1</v>
      </c>
      <c r="E694">
        <v>29</v>
      </c>
      <c r="F694">
        <f>Sayfa1!C694-273.15</f>
        <v>12.998254394531273</v>
      </c>
      <c r="G694">
        <v>53.08160400390625</v>
      </c>
      <c r="H694">
        <f>SQRT(Sayfa1!D694^2+Sayfa1!E694^2)</f>
        <v>1.5422684240571827</v>
      </c>
      <c r="I694">
        <f>SUM(Sayfa1!G671:G694)</f>
        <v>1.239776611328125E-2</v>
      </c>
    </row>
    <row r="695" spans="1:9" x14ac:dyDescent="0.3">
      <c r="A695">
        <v>-118.75</v>
      </c>
      <c r="B695">
        <v>34.25</v>
      </c>
      <c r="C695">
        <v>2025</v>
      </c>
      <c r="D695">
        <v>1</v>
      </c>
      <c r="E695">
        <v>29</v>
      </c>
      <c r="F695">
        <f>Sayfa1!C695-273.15</f>
        <v>13.726953125000023</v>
      </c>
      <c r="G695">
        <v>52.759475708007813</v>
      </c>
      <c r="H695">
        <f>SQRT(Sayfa1!D695^2+Sayfa1!E695^2)</f>
        <v>2.0476840942285133</v>
      </c>
      <c r="I695">
        <f>SUM(Sayfa1!G672:G695)</f>
        <v>1.239776611328125E-2</v>
      </c>
    </row>
    <row r="696" spans="1:9" x14ac:dyDescent="0.3">
      <c r="A696">
        <v>-118.75</v>
      </c>
      <c r="B696">
        <v>34.25</v>
      </c>
      <c r="C696">
        <v>2025</v>
      </c>
      <c r="D696">
        <v>1</v>
      </c>
      <c r="E696">
        <v>29</v>
      </c>
      <c r="F696">
        <f>Sayfa1!C696-273.15</f>
        <v>13.905603027343773</v>
      </c>
      <c r="G696">
        <v>55.216445922851563</v>
      </c>
      <c r="H696">
        <f>SQRT(Sayfa1!D696^2+Sayfa1!E696^2)</f>
        <v>1.6530631736274763</v>
      </c>
      <c r="I696">
        <f>SUM(Sayfa1!G673:G696)</f>
        <v>1.239776611328125E-2</v>
      </c>
    </row>
    <row r="697" spans="1:9" x14ac:dyDescent="0.3">
      <c r="A697">
        <v>-118.75</v>
      </c>
      <c r="B697">
        <v>34.25</v>
      </c>
      <c r="C697">
        <v>2025</v>
      </c>
      <c r="D697">
        <v>1</v>
      </c>
      <c r="E697">
        <v>29</v>
      </c>
      <c r="F697">
        <f>Sayfa1!C697-273.15</f>
        <v>14.085107421875023</v>
      </c>
      <c r="G697">
        <v>57.636367797851563</v>
      </c>
      <c r="H697">
        <f>SQRT(Sayfa1!D697^2+Sayfa1!E697^2)</f>
        <v>2.1931118722006802</v>
      </c>
      <c r="I697">
        <f>SUM(Sayfa1!G674:G697)</f>
        <v>1.239776611328125E-2</v>
      </c>
    </row>
    <row r="698" spans="1:9" x14ac:dyDescent="0.3">
      <c r="A698">
        <v>-118.75</v>
      </c>
      <c r="B698">
        <v>34.25</v>
      </c>
      <c r="C698">
        <v>2025</v>
      </c>
      <c r="D698">
        <v>1</v>
      </c>
      <c r="E698">
        <v>30</v>
      </c>
      <c r="F698">
        <f>Sayfa1!C698-273.15</f>
        <v>13.334130859375023</v>
      </c>
      <c r="G698">
        <v>66.913070678710938</v>
      </c>
      <c r="H698">
        <f>SQRT(Sayfa1!D698^2+Sayfa1!E698^2)</f>
        <v>2.9195293450129207</v>
      </c>
      <c r="I698">
        <f>SUM(Sayfa1!G675:G698)</f>
        <v>1.239776611328125E-2</v>
      </c>
    </row>
    <row r="699" spans="1:9" x14ac:dyDescent="0.3">
      <c r="A699">
        <v>-118.75</v>
      </c>
      <c r="B699">
        <v>34.25</v>
      </c>
      <c r="C699">
        <v>2025</v>
      </c>
      <c r="D699">
        <v>1</v>
      </c>
      <c r="E699">
        <v>30</v>
      </c>
      <c r="F699">
        <f>Sayfa1!C699-273.15</f>
        <v>11.931054687500023</v>
      </c>
      <c r="G699">
        <v>80.4991455078125</v>
      </c>
      <c r="H699">
        <f>SQRT(Sayfa1!D699^2+Sayfa1!E699^2)</f>
        <v>2.2206355402726454</v>
      </c>
      <c r="I699">
        <f>SUM(Sayfa1!G676:G699)</f>
        <v>1.239776611328125E-2</v>
      </c>
    </row>
    <row r="700" spans="1:9" x14ac:dyDescent="0.3">
      <c r="A700">
        <v>-118.75</v>
      </c>
      <c r="B700">
        <v>34.25</v>
      </c>
      <c r="C700">
        <v>2025</v>
      </c>
      <c r="D700">
        <v>1</v>
      </c>
      <c r="E700">
        <v>30</v>
      </c>
      <c r="F700">
        <f>Sayfa1!C700-273.15</f>
        <v>10.956567382812523</v>
      </c>
      <c r="G700">
        <v>89.030166625976563</v>
      </c>
      <c r="H700">
        <f>SQRT(Sayfa1!D700^2+Sayfa1!E700^2)</f>
        <v>1.7545723365148691</v>
      </c>
      <c r="I700">
        <f>SUM(Sayfa1!G677:G700)</f>
        <v>1.239776611328125E-2</v>
      </c>
    </row>
    <row r="701" spans="1:9" x14ac:dyDescent="0.3">
      <c r="A701">
        <v>-118.75</v>
      </c>
      <c r="B701">
        <v>34.25</v>
      </c>
      <c r="C701">
        <v>2025</v>
      </c>
      <c r="D701">
        <v>1</v>
      </c>
      <c r="E701">
        <v>30</v>
      </c>
      <c r="F701">
        <f>Sayfa1!C701-273.15</f>
        <v>10.488916015625023</v>
      </c>
      <c r="G701">
        <v>92.958465576171875</v>
      </c>
      <c r="H701">
        <f>SQRT(Sayfa1!D701^2+Sayfa1!E701^2)</f>
        <v>1.2749058710799699</v>
      </c>
      <c r="I701">
        <f>SUM(Sayfa1!G678:G701)</f>
        <v>1.239776611328125E-2</v>
      </c>
    </row>
    <row r="702" spans="1:9" x14ac:dyDescent="0.3">
      <c r="A702">
        <v>-118.75</v>
      </c>
      <c r="B702">
        <v>34.25</v>
      </c>
      <c r="C702">
        <v>2025</v>
      </c>
      <c r="D702">
        <v>1</v>
      </c>
      <c r="E702">
        <v>30</v>
      </c>
      <c r="F702">
        <f>Sayfa1!C702-273.15</f>
        <v>10.197290039062523</v>
      </c>
      <c r="G702">
        <v>95.246551513671875</v>
      </c>
      <c r="H702">
        <f>SQRT(Sayfa1!D702^2+Sayfa1!E702^2)</f>
        <v>0.94563159219577819</v>
      </c>
      <c r="I702">
        <f>SUM(Sayfa1!G679:G702)</f>
        <v>1.239776611328125E-2</v>
      </c>
    </row>
    <row r="703" spans="1:9" x14ac:dyDescent="0.3">
      <c r="A703">
        <v>-118.75</v>
      </c>
      <c r="B703">
        <v>34.25</v>
      </c>
      <c r="C703">
        <v>2025</v>
      </c>
      <c r="D703">
        <v>1</v>
      </c>
      <c r="E703">
        <v>30</v>
      </c>
      <c r="F703">
        <f>Sayfa1!C703-273.15</f>
        <v>9.9695068359375227</v>
      </c>
      <c r="G703">
        <v>94.687362670898438</v>
      </c>
      <c r="H703">
        <f>SQRT(Sayfa1!D703^2+Sayfa1!E703^2)</f>
        <v>0.52224281450422827</v>
      </c>
      <c r="I703">
        <f>SUM(Sayfa1!G680:G703)</f>
        <v>1.239776611328125E-2</v>
      </c>
    </row>
    <row r="704" spans="1:9" x14ac:dyDescent="0.3">
      <c r="A704">
        <v>-118.75</v>
      </c>
      <c r="B704">
        <v>34.25</v>
      </c>
      <c r="C704">
        <v>2025</v>
      </c>
      <c r="D704">
        <v>1</v>
      </c>
      <c r="E704">
        <v>30</v>
      </c>
      <c r="F704">
        <f>Sayfa1!C704-273.15</f>
        <v>9.8044677734375227</v>
      </c>
      <c r="G704">
        <v>94.796127319335938</v>
      </c>
      <c r="H704">
        <f>SQRT(Sayfa1!D704^2+Sayfa1!E704^2)</f>
        <v>0.14019389597691842</v>
      </c>
      <c r="I704">
        <f>SUM(Sayfa1!G681:G704)</f>
        <v>1.239776611328125E-2</v>
      </c>
    </row>
    <row r="705" spans="1:9" x14ac:dyDescent="0.3">
      <c r="A705">
        <v>-118.75</v>
      </c>
      <c r="B705">
        <v>34.25</v>
      </c>
      <c r="C705">
        <v>2025</v>
      </c>
      <c r="D705">
        <v>1</v>
      </c>
      <c r="E705">
        <v>30</v>
      </c>
      <c r="F705">
        <f>Sayfa1!C705-273.15</f>
        <v>9.6175781250000227</v>
      </c>
      <c r="G705">
        <v>95.347793579101563</v>
      </c>
      <c r="H705">
        <f>SQRT(Sayfa1!D705^2+Sayfa1!E705^2)</f>
        <v>0.22500802870588682</v>
      </c>
      <c r="I705">
        <f>SUM(Sayfa1!G682:G705)</f>
        <v>1.0013580322265625E-2</v>
      </c>
    </row>
    <row r="706" spans="1:9" x14ac:dyDescent="0.3">
      <c r="A706">
        <v>-118.75</v>
      </c>
      <c r="B706">
        <v>34.25</v>
      </c>
      <c r="C706">
        <v>2025</v>
      </c>
      <c r="D706">
        <v>1</v>
      </c>
      <c r="E706">
        <v>30</v>
      </c>
      <c r="F706">
        <f>Sayfa1!C706-273.15</f>
        <v>9.4647460937500227</v>
      </c>
      <c r="G706">
        <v>96.525405883789063</v>
      </c>
      <c r="H706">
        <f>SQRT(Sayfa1!D706^2+Sayfa1!E706^2)</f>
        <v>0.27471150241376918</v>
      </c>
      <c r="I706">
        <f>SUM(Sayfa1!G683:G706)</f>
        <v>5.7220458984375E-3</v>
      </c>
    </row>
    <row r="707" spans="1:9" x14ac:dyDescent="0.3">
      <c r="A707">
        <v>-118.75</v>
      </c>
      <c r="B707">
        <v>34.25</v>
      </c>
      <c r="C707">
        <v>2025</v>
      </c>
      <c r="D707">
        <v>1</v>
      </c>
      <c r="E707">
        <v>30</v>
      </c>
      <c r="F707">
        <f>Sayfa1!C707-273.15</f>
        <v>9.3832031250000227</v>
      </c>
      <c r="G707">
        <v>97.52301025390625</v>
      </c>
      <c r="H707">
        <f>SQRT(Sayfa1!D707^2+Sayfa1!E707^2)</f>
        <v>0.46366379193713925</v>
      </c>
      <c r="I707">
        <f>SUM(Sayfa1!G684:G707)</f>
        <v>1.430511474609375E-3</v>
      </c>
    </row>
    <row r="708" spans="1:9" x14ac:dyDescent="0.3">
      <c r="A708">
        <v>-118.75</v>
      </c>
      <c r="B708">
        <v>34.25</v>
      </c>
      <c r="C708">
        <v>2025</v>
      </c>
      <c r="D708">
        <v>1</v>
      </c>
      <c r="E708">
        <v>30</v>
      </c>
      <c r="F708">
        <f>Sayfa1!C708-273.15</f>
        <v>9.9279418945312727</v>
      </c>
      <c r="G708">
        <v>98.557754516601563</v>
      </c>
      <c r="H708">
        <f>SQRT(Sayfa1!D708^2+Sayfa1!E708^2)</f>
        <v>1.0585157126567013</v>
      </c>
      <c r="I708">
        <f>SUM(Sayfa1!G685:G708)</f>
        <v>1.8596649169921875E-2</v>
      </c>
    </row>
    <row r="709" spans="1:9" x14ac:dyDescent="0.3">
      <c r="A709">
        <v>-118.75</v>
      </c>
      <c r="B709">
        <v>34.25</v>
      </c>
      <c r="C709">
        <v>2025</v>
      </c>
      <c r="D709">
        <v>1</v>
      </c>
      <c r="E709">
        <v>30</v>
      </c>
      <c r="F709">
        <f>Sayfa1!C709-273.15</f>
        <v>9.7893920898437727</v>
      </c>
      <c r="G709">
        <v>97.609954833984375</v>
      </c>
      <c r="H709">
        <f>SQRT(Sayfa1!D709^2+Sayfa1!E709^2)</f>
        <v>0.85027360779637051</v>
      </c>
      <c r="I709">
        <f>SUM(Sayfa1!G686:G709)</f>
        <v>3.4332275390625E-2</v>
      </c>
    </row>
    <row r="710" spans="1:9" x14ac:dyDescent="0.3">
      <c r="A710">
        <v>-118.75</v>
      </c>
      <c r="B710">
        <v>34.25</v>
      </c>
      <c r="C710">
        <v>2025</v>
      </c>
      <c r="D710">
        <v>1</v>
      </c>
      <c r="E710">
        <v>30</v>
      </c>
      <c r="F710">
        <f>Sayfa1!C710-273.15</f>
        <v>9.5044799804687727</v>
      </c>
      <c r="G710">
        <v>97.057449340820313</v>
      </c>
      <c r="H710">
        <f>SQRT(Sayfa1!D710^2+Sayfa1!E710^2)</f>
        <v>1.0947138381902508</v>
      </c>
      <c r="I710">
        <f>SUM(Sayfa1!G687:G710)</f>
        <v>5.7697296142578125E-2</v>
      </c>
    </row>
    <row r="711" spans="1:9" x14ac:dyDescent="0.3">
      <c r="A711">
        <v>-118.75</v>
      </c>
      <c r="B711">
        <v>34.25</v>
      </c>
      <c r="C711">
        <v>2025</v>
      </c>
      <c r="D711">
        <v>1</v>
      </c>
      <c r="E711">
        <v>30</v>
      </c>
      <c r="F711">
        <f>Sayfa1!C711-273.15</f>
        <v>9.2394958496093977</v>
      </c>
      <c r="G711">
        <v>95.3084716796875</v>
      </c>
      <c r="H711">
        <f>SQRT(Sayfa1!D711^2+Sayfa1!E711^2)</f>
        <v>1.4777438476618376</v>
      </c>
      <c r="I711">
        <f>SUM(Sayfa1!G688:G711)</f>
        <v>6.580352783203125E-2</v>
      </c>
    </row>
    <row r="712" spans="1:9" x14ac:dyDescent="0.3">
      <c r="A712">
        <v>-118.75</v>
      </c>
      <c r="B712">
        <v>34.25</v>
      </c>
      <c r="C712">
        <v>2025</v>
      </c>
      <c r="D712">
        <v>1</v>
      </c>
      <c r="E712">
        <v>30</v>
      </c>
      <c r="F712">
        <f>Sayfa1!C712-273.15</f>
        <v>9.0990234375000227</v>
      </c>
      <c r="G712">
        <v>91.7445068359375</v>
      </c>
      <c r="H712">
        <f>SQRT(Sayfa1!D712^2+Sayfa1!E712^2)</f>
        <v>1.6953598991071164</v>
      </c>
      <c r="I712">
        <f>SUM(Sayfa1!G689:G712)</f>
        <v>0.1068115234375</v>
      </c>
    </row>
    <row r="713" spans="1:9" x14ac:dyDescent="0.3">
      <c r="A713">
        <v>-118.75</v>
      </c>
      <c r="B713">
        <v>34.25</v>
      </c>
      <c r="C713">
        <v>2025</v>
      </c>
      <c r="D713">
        <v>1</v>
      </c>
      <c r="E713">
        <v>30</v>
      </c>
      <c r="F713">
        <f>Sayfa1!C713-273.15</f>
        <v>8.9653564453125227</v>
      </c>
      <c r="G713">
        <v>89.560028076171875</v>
      </c>
      <c r="H713">
        <f>SQRT(Sayfa1!D713^2+Sayfa1!E713^2)</f>
        <v>1.7651122483922357</v>
      </c>
      <c r="I713">
        <f>SUM(Sayfa1!G690:G713)</f>
        <v>0.1125335693359375</v>
      </c>
    </row>
    <row r="714" spans="1:9" x14ac:dyDescent="0.3">
      <c r="A714">
        <v>-118.75</v>
      </c>
      <c r="B714">
        <v>34.25</v>
      </c>
      <c r="C714">
        <v>2025</v>
      </c>
      <c r="D714">
        <v>1</v>
      </c>
      <c r="E714">
        <v>30</v>
      </c>
      <c r="F714">
        <f>Sayfa1!C714-273.15</f>
        <v>8.8772827148437727</v>
      </c>
      <c r="G714">
        <v>89.527374267578125</v>
      </c>
      <c r="H714">
        <f>SQRT(Sayfa1!D714^2+Sayfa1!E714^2)</f>
        <v>1.3927930560547077</v>
      </c>
      <c r="I714">
        <f>SUM(Sayfa1!G691:G714)</f>
        <v>0.13637542724609375</v>
      </c>
    </row>
    <row r="715" spans="1:9" x14ac:dyDescent="0.3">
      <c r="A715">
        <v>-118.75</v>
      </c>
      <c r="B715">
        <v>34.25</v>
      </c>
      <c r="C715">
        <v>2025</v>
      </c>
      <c r="D715">
        <v>1</v>
      </c>
      <c r="E715">
        <v>30</v>
      </c>
      <c r="F715">
        <f>Sayfa1!C715-273.15</f>
        <v>9.0028930664062727</v>
      </c>
      <c r="G715">
        <v>86.534805297851563</v>
      </c>
      <c r="H715">
        <f>SQRT(Sayfa1!D715^2+Sayfa1!E715^2)</f>
        <v>0.60548077425245739</v>
      </c>
      <c r="I715">
        <f>SUM(Sayfa1!G692:G715)</f>
        <v>0.14972686767578125</v>
      </c>
    </row>
    <row r="716" spans="1:9" x14ac:dyDescent="0.3">
      <c r="A716">
        <v>-118.75</v>
      </c>
      <c r="B716">
        <v>34.25</v>
      </c>
      <c r="C716">
        <v>2025</v>
      </c>
      <c r="D716">
        <v>1</v>
      </c>
      <c r="E716">
        <v>30</v>
      </c>
      <c r="F716">
        <f>Sayfa1!C716-273.15</f>
        <v>9.9786010742187727</v>
      </c>
      <c r="G716">
        <v>79.132308959960938</v>
      </c>
      <c r="H716">
        <f>SQRT(Sayfa1!D716^2+Sayfa1!E716^2)</f>
        <v>0.76720023089414979</v>
      </c>
      <c r="I716">
        <f>SUM(Sayfa1!G693:G716)</f>
        <v>0.15354156494140625</v>
      </c>
    </row>
    <row r="717" spans="1:9" x14ac:dyDescent="0.3">
      <c r="A717">
        <v>-118.75</v>
      </c>
      <c r="B717">
        <v>34.25</v>
      </c>
      <c r="C717">
        <v>2025</v>
      </c>
      <c r="D717">
        <v>1</v>
      </c>
      <c r="E717">
        <v>30</v>
      </c>
      <c r="F717">
        <f>Sayfa1!C717-273.15</f>
        <v>10.746484375000023</v>
      </c>
      <c r="G717">
        <v>74.310272216796875</v>
      </c>
      <c r="H717">
        <f>SQRT(Sayfa1!D717^2+Sayfa1!E717^2)</f>
        <v>1.0440217544145884</v>
      </c>
      <c r="I717">
        <f>SUM(Sayfa1!G694:G717)</f>
        <v>0.1697540283203125</v>
      </c>
    </row>
    <row r="718" spans="1:9" x14ac:dyDescent="0.3">
      <c r="A718">
        <v>-118.75</v>
      </c>
      <c r="B718">
        <v>34.25</v>
      </c>
      <c r="C718">
        <v>2025</v>
      </c>
      <c r="D718">
        <v>1</v>
      </c>
      <c r="E718">
        <v>30</v>
      </c>
      <c r="F718">
        <f>Sayfa1!C718-273.15</f>
        <v>11.472314453125023</v>
      </c>
      <c r="G718">
        <v>70.62445068359375</v>
      </c>
      <c r="H718">
        <f>SQRT(Sayfa1!D718^2+Sayfa1!E718^2)</f>
        <v>1.3245207139326902</v>
      </c>
      <c r="I718">
        <f>SUM(Sayfa1!G695:G718)</f>
        <v>0.17261505126953125</v>
      </c>
    </row>
    <row r="719" spans="1:9" x14ac:dyDescent="0.3">
      <c r="A719">
        <v>-118.75</v>
      </c>
      <c r="B719">
        <v>34.25</v>
      </c>
      <c r="C719">
        <v>2025</v>
      </c>
      <c r="D719">
        <v>1</v>
      </c>
      <c r="E719">
        <v>30</v>
      </c>
      <c r="F719">
        <f>Sayfa1!C719-273.15</f>
        <v>11.998193359375023</v>
      </c>
      <c r="G719">
        <v>68.767471313476563</v>
      </c>
      <c r="H719">
        <f>SQRT(Sayfa1!D719^2+Sayfa1!E719^2)</f>
        <v>1.5726112647007704</v>
      </c>
      <c r="I719">
        <f>SUM(Sayfa1!G696:G719)</f>
        <v>0.17261505126953125</v>
      </c>
    </row>
    <row r="720" spans="1:9" x14ac:dyDescent="0.3">
      <c r="A720">
        <v>-118.75</v>
      </c>
      <c r="B720">
        <v>34.25</v>
      </c>
      <c r="C720">
        <v>2025</v>
      </c>
      <c r="D720">
        <v>1</v>
      </c>
      <c r="E720">
        <v>30</v>
      </c>
      <c r="F720">
        <f>Sayfa1!C720-273.15</f>
        <v>12.080224609375023</v>
      </c>
      <c r="G720">
        <v>64.484390258789063</v>
      </c>
      <c r="H720">
        <f>SQRT(Sayfa1!D720^2+Sayfa1!E720^2)</f>
        <v>0.63110540341771892</v>
      </c>
      <c r="I720">
        <f>SUM(Sayfa1!G697:G720)</f>
        <v>0.17261505126953125</v>
      </c>
    </row>
    <row r="721" spans="1:9" x14ac:dyDescent="0.3">
      <c r="A721">
        <v>-118.75</v>
      </c>
      <c r="B721">
        <v>34.25</v>
      </c>
      <c r="C721">
        <v>2025</v>
      </c>
      <c r="D721">
        <v>1</v>
      </c>
      <c r="E721">
        <v>30</v>
      </c>
      <c r="F721">
        <f>Sayfa1!C721-273.15</f>
        <v>12.641259765625023</v>
      </c>
      <c r="G721">
        <v>62.54296875</v>
      </c>
      <c r="H721">
        <f>SQRT(Sayfa1!D721^2+Sayfa1!E721^2)</f>
        <v>1.1169834700923105</v>
      </c>
      <c r="I721">
        <f>SUM(Sayfa1!G698:G721)</f>
        <v>0.17261505126953125</v>
      </c>
    </row>
    <row r="722" spans="1:9" x14ac:dyDescent="0.3">
      <c r="A722">
        <v>-118.75</v>
      </c>
      <c r="B722">
        <v>34.25</v>
      </c>
      <c r="C722">
        <v>2025</v>
      </c>
      <c r="D722">
        <v>1</v>
      </c>
      <c r="E722">
        <v>31</v>
      </c>
      <c r="F722">
        <f>Sayfa1!C722-273.15</f>
        <v>12.772241210937523</v>
      </c>
      <c r="G722">
        <v>62.745849609375</v>
      </c>
      <c r="H722">
        <f>SQRT(Sayfa1!D722^2+Sayfa1!E722^2)</f>
        <v>1.4681154995907661</v>
      </c>
      <c r="I722">
        <f>SUM(Sayfa1!G699:G722)</f>
        <v>0.17261505126953125</v>
      </c>
    </row>
    <row r="723" spans="1:9" x14ac:dyDescent="0.3">
      <c r="A723">
        <v>-118.75</v>
      </c>
      <c r="B723">
        <v>34.25</v>
      </c>
      <c r="C723">
        <v>2025</v>
      </c>
      <c r="D723">
        <v>1</v>
      </c>
      <c r="E723">
        <v>31</v>
      </c>
      <c r="F723">
        <f>Sayfa1!C723-273.15</f>
        <v>12.050805664062523</v>
      </c>
      <c r="G723">
        <v>70.129150390625</v>
      </c>
      <c r="H723">
        <f>SQRT(Sayfa1!D723^2+Sayfa1!E723^2)</f>
        <v>1.3834699725207291</v>
      </c>
      <c r="I723">
        <f>SUM(Sayfa1!G700:G723)</f>
        <v>0.17261505126953125</v>
      </c>
    </row>
    <row r="724" spans="1:9" x14ac:dyDescent="0.3">
      <c r="A724">
        <v>-118.75</v>
      </c>
      <c r="B724">
        <v>34.25</v>
      </c>
      <c r="C724">
        <v>2025</v>
      </c>
      <c r="D724">
        <v>1</v>
      </c>
      <c r="E724">
        <v>31</v>
      </c>
      <c r="F724">
        <f>Sayfa1!C724-273.15</f>
        <v>11.289208984375023</v>
      </c>
      <c r="G724">
        <v>77.306594848632813</v>
      </c>
      <c r="H724">
        <f>SQRT(Sayfa1!D724^2+Sayfa1!E724^2)</f>
        <v>1.2331761751139225</v>
      </c>
      <c r="I724">
        <f>SUM(Sayfa1!G701:G724)</f>
        <v>0.1735687255859375</v>
      </c>
    </row>
    <row r="725" spans="1:9" x14ac:dyDescent="0.3">
      <c r="A725">
        <v>-118.75</v>
      </c>
      <c r="B725">
        <v>34.25</v>
      </c>
      <c r="C725">
        <v>2025</v>
      </c>
      <c r="D725">
        <v>1</v>
      </c>
      <c r="E725">
        <v>31</v>
      </c>
      <c r="F725">
        <f>Sayfa1!C725-273.15</f>
        <v>10.721215820312523</v>
      </c>
      <c r="G725">
        <v>82.73724365234375</v>
      </c>
      <c r="H725">
        <f>SQRT(Sayfa1!D725^2+Sayfa1!E725^2)</f>
        <v>1.2918606758403473</v>
      </c>
      <c r="I725">
        <f>SUM(Sayfa1!G702:G725)</f>
        <v>0.1735687255859375</v>
      </c>
    </row>
    <row r="726" spans="1:9" x14ac:dyDescent="0.3">
      <c r="A726">
        <v>-118.75</v>
      </c>
      <c r="B726">
        <v>34.25</v>
      </c>
      <c r="C726">
        <v>2025</v>
      </c>
      <c r="D726">
        <v>1</v>
      </c>
      <c r="E726">
        <v>31</v>
      </c>
      <c r="F726">
        <f>Sayfa1!C726-273.15</f>
        <v>10.190942382812523</v>
      </c>
      <c r="G726">
        <v>86.627700805664063</v>
      </c>
      <c r="H726">
        <f>SQRT(Sayfa1!D726^2+Sayfa1!E726^2)</f>
        <v>1.5320987505269887</v>
      </c>
      <c r="I726">
        <f>SUM(Sayfa1!G703:G726)</f>
        <v>0.1735687255859375</v>
      </c>
    </row>
    <row r="727" spans="1:9" x14ac:dyDescent="0.3">
      <c r="A727">
        <v>-118.75</v>
      </c>
      <c r="B727">
        <v>34.25</v>
      </c>
      <c r="C727">
        <v>2025</v>
      </c>
      <c r="D727">
        <v>1</v>
      </c>
      <c r="E727">
        <v>31</v>
      </c>
      <c r="F727">
        <f>Sayfa1!C727-273.15</f>
        <v>9.8847900390625227</v>
      </c>
      <c r="G727">
        <v>88.190994262695313</v>
      </c>
      <c r="H727">
        <f>SQRT(Sayfa1!D727^2+Sayfa1!E727^2)</f>
        <v>1.2999759908876793</v>
      </c>
      <c r="I727">
        <f>SUM(Sayfa1!G704:G727)</f>
        <v>0.1735687255859375</v>
      </c>
    </row>
    <row r="728" spans="1:9" x14ac:dyDescent="0.3">
      <c r="A728">
        <v>-118.75</v>
      </c>
      <c r="B728">
        <v>34.25</v>
      </c>
      <c r="C728">
        <v>2025</v>
      </c>
      <c r="D728">
        <v>1</v>
      </c>
      <c r="E728">
        <v>31</v>
      </c>
      <c r="F728">
        <f>Sayfa1!C728-273.15</f>
        <v>9.8379150390625227</v>
      </c>
      <c r="G728">
        <v>87.013916015625</v>
      </c>
      <c r="H728">
        <f>SQRT(Sayfa1!D728^2+Sayfa1!E728^2)</f>
        <v>1.2026833539912345</v>
      </c>
      <c r="I728">
        <f>SUM(Sayfa1!G705:G728)</f>
        <v>0.1735687255859375</v>
      </c>
    </row>
    <row r="729" spans="1:9" x14ac:dyDescent="0.3">
      <c r="A729">
        <v>-118.75</v>
      </c>
      <c r="B729">
        <v>34.25</v>
      </c>
      <c r="C729">
        <v>2025</v>
      </c>
      <c r="D729">
        <v>1</v>
      </c>
      <c r="E729">
        <v>31</v>
      </c>
      <c r="F729">
        <f>Sayfa1!C729-273.15</f>
        <v>9.8653808593750227</v>
      </c>
      <c r="G729">
        <v>85.558837890625</v>
      </c>
      <c r="H729">
        <f>SQRT(Sayfa1!D729^2+Sayfa1!E729^2)</f>
        <v>1.2666437326586204</v>
      </c>
      <c r="I729">
        <f>SUM(Sayfa1!G706:G729)</f>
        <v>0.1735687255859375</v>
      </c>
    </row>
    <row r="730" spans="1:9" x14ac:dyDescent="0.3">
      <c r="A730">
        <v>-118.75</v>
      </c>
      <c r="B730">
        <v>34.25</v>
      </c>
      <c r="C730">
        <v>2025</v>
      </c>
      <c r="D730">
        <v>1</v>
      </c>
      <c r="E730">
        <v>31</v>
      </c>
      <c r="F730">
        <f>Sayfa1!C730-273.15</f>
        <v>9.9122558593750227</v>
      </c>
      <c r="G730">
        <v>83.560104370117188</v>
      </c>
      <c r="H730">
        <f>SQRT(Sayfa1!D730^2+Sayfa1!E730^2)</f>
        <v>1.3576328533007163</v>
      </c>
      <c r="I730">
        <f>SUM(Sayfa1!G707:G730)</f>
        <v>0.1735687255859375</v>
      </c>
    </row>
    <row r="731" spans="1:9" x14ac:dyDescent="0.3">
      <c r="A731">
        <v>-118.75</v>
      </c>
      <c r="B731">
        <v>34.25</v>
      </c>
      <c r="C731">
        <v>2025</v>
      </c>
      <c r="D731">
        <v>1</v>
      </c>
      <c r="E731">
        <v>31</v>
      </c>
      <c r="F731">
        <f>Sayfa1!C731-273.15</f>
        <v>10.006494140625023</v>
      </c>
      <c r="G731">
        <v>81.966278076171875</v>
      </c>
      <c r="H731">
        <f>SQRT(Sayfa1!D731^2+Sayfa1!E731^2)</f>
        <v>1.3584004835103778</v>
      </c>
      <c r="I731">
        <f>SUM(Sayfa1!G708:G731)</f>
        <v>0.17309188842773438</v>
      </c>
    </row>
    <row r="732" spans="1:9" x14ac:dyDescent="0.3">
      <c r="A732">
        <v>-118.75</v>
      </c>
      <c r="B732">
        <v>34.25</v>
      </c>
      <c r="C732">
        <v>2025</v>
      </c>
      <c r="D732">
        <v>1</v>
      </c>
      <c r="E732">
        <v>31</v>
      </c>
      <c r="F732">
        <f>Sayfa1!C732-273.15</f>
        <v>9.2496582031250227</v>
      </c>
      <c r="G732">
        <v>85.645401000976563</v>
      </c>
      <c r="H732">
        <f>SQRT(Sayfa1!D732^2+Sayfa1!E732^2)</f>
        <v>1.6143266816918891</v>
      </c>
      <c r="I732">
        <f>SUM(Sayfa1!G709:G732)</f>
        <v>0.15497207641601563</v>
      </c>
    </row>
    <row r="733" spans="1:9" x14ac:dyDescent="0.3">
      <c r="A733">
        <v>-118.75</v>
      </c>
      <c r="B733">
        <v>34.25</v>
      </c>
      <c r="C733">
        <v>2025</v>
      </c>
      <c r="D733">
        <v>1</v>
      </c>
      <c r="E733">
        <v>31</v>
      </c>
      <c r="F733">
        <f>Sayfa1!C733-273.15</f>
        <v>9.7949462890625227</v>
      </c>
      <c r="G733">
        <v>85.215377807617188</v>
      </c>
      <c r="H733">
        <f>SQRT(Sayfa1!D733^2+Sayfa1!E733^2)</f>
        <v>1.6436604128229233</v>
      </c>
      <c r="I733">
        <f>SUM(Sayfa1!G710:G733)</f>
        <v>0.1392364501953125</v>
      </c>
    </row>
    <row r="734" spans="1:9" x14ac:dyDescent="0.3">
      <c r="A734">
        <v>-118.75</v>
      </c>
      <c r="B734">
        <v>34.25</v>
      </c>
      <c r="C734">
        <v>2025</v>
      </c>
      <c r="D734">
        <v>1</v>
      </c>
      <c r="E734">
        <v>31</v>
      </c>
      <c r="F734">
        <f>Sayfa1!C734-273.15</f>
        <v>10.243432617187523</v>
      </c>
      <c r="G734">
        <v>82.251571655273438</v>
      </c>
      <c r="H734">
        <f>SQRT(Sayfa1!D734^2+Sayfa1!E734^2)</f>
        <v>1.7680793747640955</v>
      </c>
      <c r="I734">
        <f>SUM(Sayfa1!G711:G734)</f>
        <v>0.11587142944335938</v>
      </c>
    </row>
    <row r="735" spans="1:9" x14ac:dyDescent="0.3">
      <c r="A735">
        <v>-118.75</v>
      </c>
      <c r="B735">
        <v>34.25</v>
      </c>
      <c r="C735">
        <v>2025</v>
      </c>
      <c r="D735">
        <v>1</v>
      </c>
      <c r="E735">
        <v>31</v>
      </c>
      <c r="F735">
        <f>Sayfa1!C735-273.15</f>
        <v>10.383569335937523</v>
      </c>
      <c r="G735">
        <v>79.552459716796875</v>
      </c>
      <c r="H735">
        <f>SQRT(Sayfa1!D735^2+Sayfa1!E735^2)</f>
        <v>1.6689638611252167</v>
      </c>
      <c r="I735">
        <f>SUM(Sayfa1!G712:G735)</f>
        <v>0.10776519775390625</v>
      </c>
    </row>
    <row r="736" spans="1:9" x14ac:dyDescent="0.3">
      <c r="A736">
        <v>-118.75</v>
      </c>
      <c r="B736">
        <v>34.25</v>
      </c>
      <c r="C736">
        <v>2025</v>
      </c>
      <c r="D736">
        <v>1</v>
      </c>
      <c r="E736">
        <v>31</v>
      </c>
      <c r="F736">
        <f>Sayfa1!C736-273.15</f>
        <v>10.161035156250023</v>
      </c>
      <c r="G736">
        <v>78.57928466796875</v>
      </c>
      <c r="H736">
        <f>SQRT(Sayfa1!D736^2+Sayfa1!E736^2)</f>
        <v>1.6337123392243795</v>
      </c>
      <c r="I736">
        <f>SUM(Sayfa1!G713:G736)</f>
        <v>6.67572021484375E-2</v>
      </c>
    </row>
    <row r="737" spans="1:9" x14ac:dyDescent="0.3">
      <c r="A737">
        <v>-118.75</v>
      </c>
      <c r="B737">
        <v>34.25</v>
      </c>
      <c r="C737">
        <v>2025</v>
      </c>
      <c r="D737">
        <v>1</v>
      </c>
      <c r="E737">
        <v>31</v>
      </c>
      <c r="F737">
        <f>Sayfa1!C737-273.15</f>
        <v>10.106347656250023</v>
      </c>
      <c r="G737">
        <v>77.94317626953125</v>
      </c>
      <c r="H737">
        <f>SQRT(Sayfa1!D737^2+Sayfa1!E737^2)</f>
        <v>1.4979082720135379</v>
      </c>
      <c r="I737">
        <f>SUM(Sayfa1!G714:G737)</f>
        <v>6.103515625E-2</v>
      </c>
    </row>
    <row r="738" spans="1:9" x14ac:dyDescent="0.3">
      <c r="A738">
        <v>-118.75</v>
      </c>
      <c r="B738">
        <v>34.25</v>
      </c>
      <c r="C738">
        <v>2025</v>
      </c>
      <c r="D738">
        <v>1</v>
      </c>
      <c r="E738">
        <v>31</v>
      </c>
      <c r="F738">
        <f>Sayfa1!C738-273.15</f>
        <v>10.294824218750023</v>
      </c>
      <c r="G738">
        <v>75.936782836914063</v>
      </c>
      <c r="H738">
        <f>SQRT(Sayfa1!D738^2+Sayfa1!E738^2)</f>
        <v>1.0474609631778984</v>
      </c>
      <c r="I738">
        <f>SUM(Sayfa1!G715:G738)</f>
        <v>3.719329833984375E-2</v>
      </c>
    </row>
    <row r="739" spans="1:9" x14ac:dyDescent="0.3">
      <c r="A739">
        <v>-118.75</v>
      </c>
      <c r="B739">
        <v>34.25</v>
      </c>
      <c r="C739">
        <v>2025</v>
      </c>
      <c r="D739">
        <v>1</v>
      </c>
      <c r="E739">
        <v>31</v>
      </c>
      <c r="F739">
        <f>Sayfa1!C739-273.15</f>
        <v>10.737817382812523</v>
      </c>
      <c r="G739">
        <v>61.192169189453125</v>
      </c>
      <c r="H739">
        <f>SQRT(Sayfa1!D739^2+Sayfa1!E739^2)</f>
        <v>0.54953048963639217</v>
      </c>
      <c r="I739">
        <f>SUM(Sayfa1!G716:G739)</f>
        <v>2.384185791015625E-2</v>
      </c>
    </row>
    <row r="740" spans="1:9" x14ac:dyDescent="0.3">
      <c r="A740">
        <v>-118.75</v>
      </c>
      <c r="B740">
        <v>34.25</v>
      </c>
      <c r="C740">
        <v>2025</v>
      </c>
      <c r="D740">
        <v>1</v>
      </c>
      <c r="E740">
        <v>31</v>
      </c>
      <c r="F740">
        <f>Sayfa1!C740-273.15</f>
        <v>11.902368164062523</v>
      </c>
      <c r="G740">
        <v>48.4833984375</v>
      </c>
      <c r="H740">
        <f>SQRT(Sayfa1!D740^2+Sayfa1!E740^2)</f>
        <v>0.69432026691834081</v>
      </c>
      <c r="I740">
        <f>SUM(Sayfa1!G717:G740)</f>
        <v>2.002716064453125E-2</v>
      </c>
    </row>
    <row r="741" spans="1:9" x14ac:dyDescent="0.3">
      <c r="A741">
        <v>-118.75</v>
      </c>
      <c r="B741">
        <v>34.25</v>
      </c>
      <c r="C741">
        <v>2025</v>
      </c>
      <c r="D741">
        <v>1</v>
      </c>
      <c r="E741">
        <v>31</v>
      </c>
      <c r="F741">
        <f>Sayfa1!C741-273.15</f>
        <v>13.702783203125023</v>
      </c>
      <c r="G741">
        <v>45.165054321289063</v>
      </c>
      <c r="H741">
        <f>SQRT(Sayfa1!D741^2+Sayfa1!E741^2)</f>
        <v>0.5188847012975456</v>
      </c>
      <c r="I741">
        <f>SUM(Sayfa1!G718:G741)</f>
        <v>3.814697265625E-3</v>
      </c>
    </row>
    <row r="742" spans="1:9" x14ac:dyDescent="0.3">
      <c r="A742">
        <v>-118.75</v>
      </c>
      <c r="B742">
        <v>34.25</v>
      </c>
      <c r="C742">
        <v>2025</v>
      </c>
      <c r="D742">
        <v>1</v>
      </c>
      <c r="E742">
        <v>31</v>
      </c>
      <c r="F742">
        <f>Sayfa1!C742-273.15</f>
        <v>14.741113281250023</v>
      </c>
      <c r="G742">
        <v>46.524490356445313</v>
      </c>
      <c r="H742">
        <f>SQRT(Sayfa1!D742^2+Sayfa1!E742^2)</f>
        <v>1.400909180511829</v>
      </c>
      <c r="I742">
        <f>SUM(Sayfa1!G719:G742)</f>
        <v>9.5367431640625E-4</v>
      </c>
    </row>
    <row r="743" spans="1:9" x14ac:dyDescent="0.3">
      <c r="A743">
        <v>-118.75</v>
      </c>
      <c r="B743">
        <v>34.25</v>
      </c>
      <c r="C743">
        <v>2025</v>
      </c>
      <c r="D743">
        <v>1</v>
      </c>
      <c r="E743">
        <v>31</v>
      </c>
      <c r="F743">
        <f>Sayfa1!C743-273.15</f>
        <v>15.158593750000023</v>
      </c>
      <c r="G743">
        <v>50.38616943359375</v>
      </c>
      <c r="H743">
        <f>SQRT(Sayfa1!D743^2+Sayfa1!E743^2)</f>
        <v>2.0314142905790558</v>
      </c>
      <c r="I743">
        <f>SUM(Sayfa1!G720:G743)</f>
        <v>9.5367431640625E-4</v>
      </c>
    </row>
    <row r="744" spans="1:9" x14ac:dyDescent="0.3">
      <c r="A744">
        <v>-118.75</v>
      </c>
      <c r="B744">
        <v>34.25</v>
      </c>
      <c r="C744">
        <v>2025</v>
      </c>
      <c r="D744">
        <v>1</v>
      </c>
      <c r="E744">
        <v>31</v>
      </c>
      <c r="F744">
        <f>Sayfa1!C744-273.15</f>
        <v>15.388330078125023</v>
      </c>
      <c r="G744">
        <v>44.078460693359375</v>
      </c>
      <c r="H744">
        <f>SQRT(Sayfa1!D744^2+Sayfa1!E744^2)</f>
        <v>0.93106529239503044</v>
      </c>
      <c r="I744">
        <f>SUM(Sayfa1!G721:G744)</f>
        <v>9.5367431640625E-4</v>
      </c>
    </row>
    <row r="745" spans="1:9" x14ac:dyDescent="0.3">
      <c r="A745">
        <v>-118.75</v>
      </c>
      <c r="B745">
        <v>34.25</v>
      </c>
      <c r="C745">
        <v>2025</v>
      </c>
      <c r="D745">
        <v>1</v>
      </c>
      <c r="E745">
        <v>31</v>
      </c>
      <c r="F745">
        <f>Sayfa1!C745-273.15</f>
        <v>15.494042968750023</v>
      </c>
      <c r="G745">
        <v>47.807479858398438</v>
      </c>
      <c r="H745">
        <f>SQRT(Sayfa1!D745^2+Sayfa1!E745^2)</f>
        <v>1.6710728912229869</v>
      </c>
      <c r="I745">
        <f>SUM(Sayfa1!G722:G745)</f>
        <v>9.5367431640625E-4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F1" sqref="F1:G1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14</v>
      </c>
      <c r="G1" t="s">
        <v>12</v>
      </c>
    </row>
    <row r="2" spans="2:7" x14ac:dyDescent="0.3">
      <c r="B2" s="1">
        <v>0</v>
      </c>
      <c r="C2">
        <v>291.8671875</v>
      </c>
      <c r="D2">
        <v>0.2359771728515625</v>
      </c>
      <c r="E2">
        <v>0.4410858154296875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291.0025634765625</v>
      </c>
      <c r="D3">
        <v>0.7816314697265625</v>
      </c>
      <c r="E3">
        <v>0.3072662353515625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290.82470703125</v>
      </c>
      <c r="D4">
        <v>0.59759521484375</v>
      </c>
      <c r="E4">
        <v>-0.2842864990234375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290.8719482421875</v>
      </c>
      <c r="D5">
        <v>-2.83050537109375E-2</v>
      </c>
      <c r="E5">
        <v>-0.7350616455078125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290.501953125</v>
      </c>
      <c r="D6">
        <v>-0.6050567626953125</v>
      </c>
      <c r="E6">
        <v>-1.39947509765625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290.0699462890625</v>
      </c>
      <c r="D7">
        <v>-0.5964813232421875</v>
      </c>
      <c r="E7">
        <v>-1.872344970703125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289.8026123046875</v>
      </c>
      <c r="D8">
        <v>-0.467742919921875</v>
      </c>
      <c r="E8">
        <v>-2.0094146728515625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289.607666015625</v>
      </c>
      <c r="D9">
        <v>-0.4654388427734375</v>
      </c>
      <c r="E9">
        <v>-2.0858001708984375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289.586669921875</v>
      </c>
      <c r="D10">
        <v>-0.40740966796875</v>
      </c>
      <c r="E10">
        <v>-2.1268310546875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289.546142578125</v>
      </c>
      <c r="D11">
        <v>-0.297698974609375</v>
      </c>
      <c r="E11">
        <v>-2.1067962646484375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288.5185546875</v>
      </c>
      <c r="D12">
        <v>-0.2811126708984375</v>
      </c>
      <c r="E12">
        <v>-2.382415771484375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288.692626953125</v>
      </c>
      <c r="D13">
        <v>-0.27288818359375</v>
      </c>
      <c r="E13">
        <v>-2.094970703125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289.3037109375</v>
      </c>
      <c r="D14">
        <v>-0.320281982421875</v>
      </c>
      <c r="E14">
        <v>-2.1729888916015625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289.476318359375</v>
      </c>
      <c r="D15">
        <v>-0.1702880859375</v>
      </c>
      <c r="E15">
        <v>-2.294158935546875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290.202392578125</v>
      </c>
      <c r="D16">
        <v>-0.2266998291015625</v>
      </c>
      <c r="E16">
        <v>-2.4033203125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290.7041015625</v>
      </c>
      <c r="D17">
        <v>-0.58721923828125</v>
      </c>
      <c r="E17">
        <v>-2.5055389404296875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291.083251953125</v>
      </c>
      <c r="D18">
        <v>-0.8038482666015625</v>
      </c>
      <c r="E18">
        <v>-2.3407745361328125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291.1661376953125</v>
      </c>
      <c r="D19">
        <v>-0.5374298095703125</v>
      </c>
      <c r="E19">
        <v>-1.9174346923828125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290.8165283203125</v>
      </c>
      <c r="D20">
        <v>-0.151275634765625</v>
      </c>
      <c r="E20">
        <v>-1.4575958251953125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292.2310791015625</v>
      </c>
      <c r="D21">
        <v>0.179962158203125</v>
      </c>
      <c r="E21">
        <v>-1.126434326171875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293.97119140625</v>
      </c>
      <c r="D22">
        <v>0.2277679443359375</v>
      </c>
      <c r="E22">
        <v>-0.4022064208984375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294.771484375</v>
      </c>
      <c r="D23">
        <v>0.13531494140625</v>
      </c>
      <c r="E23">
        <v>0.1348419189453125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293.35595703125</v>
      </c>
      <c r="D24">
        <v>-9.5855712890625E-2</v>
      </c>
      <c r="E24">
        <v>0.2669525146484375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293.41796875</v>
      </c>
      <c r="D25">
        <v>0.36090087890625</v>
      </c>
      <c r="E25">
        <v>0.8451690673828125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292.96142578125</v>
      </c>
      <c r="D26">
        <v>0.6842193603515625</v>
      </c>
      <c r="E26">
        <v>1.1121978759765625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293.208984375</v>
      </c>
      <c r="D27">
        <v>0.7237548828125</v>
      </c>
      <c r="E27">
        <v>0.40020751953125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293.69970703125</v>
      </c>
      <c r="D28">
        <v>0.2369384765625</v>
      </c>
      <c r="E28">
        <v>-0.8160400390625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293.8275146484375</v>
      </c>
      <c r="D29">
        <v>-0.252532958984375</v>
      </c>
      <c r="E29">
        <v>-1.158447265625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293.635009765625</v>
      </c>
      <c r="D30">
        <v>-0.70721435546875</v>
      </c>
      <c r="E30">
        <v>-1.3659820556640625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293.3900146484375</v>
      </c>
      <c r="D31">
        <v>-0.8944244384765625</v>
      </c>
      <c r="E31">
        <v>-1.422393798828125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293.1190185546875</v>
      </c>
      <c r="D32">
        <v>-0.73211669921875</v>
      </c>
      <c r="E32">
        <v>-1.633087158203125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293.116455078125</v>
      </c>
      <c r="D33">
        <v>-0.381561279296875</v>
      </c>
      <c r="E33">
        <v>-1.8672332763671875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293.2626953125</v>
      </c>
      <c r="D34">
        <v>-0.156219482421875</v>
      </c>
      <c r="E34">
        <v>-1.9816131591796875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293.306884765625</v>
      </c>
      <c r="D35">
        <v>-0.134063720703125</v>
      </c>
      <c r="E35">
        <v>-2.0167999267578125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292.529052734375</v>
      </c>
      <c r="D36">
        <v>-0.3721923828125</v>
      </c>
      <c r="E36">
        <v>-2.3290252685546875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292.432373046875</v>
      </c>
      <c r="D37">
        <v>-0.5160675048828125</v>
      </c>
      <c r="E37">
        <v>-2.41265869140625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292.263671875</v>
      </c>
      <c r="D38">
        <v>-0.6613922119140625</v>
      </c>
      <c r="E38">
        <v>-2.4537811279296875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291.9942626953125</v>
      </c>
      <c r="D39">
        <v>-0.76605224609375</v>
      </c>
      <c r="E39">
        <v>-2.5555419921875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292.1719970703125</v>
      </c>
      <c r="D40">
        <v>-0.7408599853515625</v>
      </c>
      <c r="E40">
        <v>-2.687469482421875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292.242919921875</v>
      </c>
      <c r="D41">
        <v>-0.6825408935546875</v>
      </c>
      <c r="E41">
        <v>-2.7680511474609375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292.4146728515625</v>
      </c>
      <c r="D42">
        <v>-0.568206787109375</v>
      </c>
      <c r="E42">
        <v>-2.5622406005859375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292.6153564453125</v>
      </c>
      <c r="D43">
        <v>-0.5128021240234375</v>
      </c>
      <c r="E43">
        <v>-2.183319091796875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292.7530517578125</v>
      </c>
      <c r="D44">
        <v>-0.704071044921875</v>
      </c>
      <c r="E44">
        <v>-1.9868316650390625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293.877685546875</v>
      </c>
      <c r="D45">
        <v>-1.0765380859375</v>
      </c>
      <c r="E45">
        <v>-1.8517913818359375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295.6712646484375</v>
      </c>
      <c r="D46">
        <v>-1.2657470703125</v>
      </c>
      <c r="E46">
        <v>-1.4993133544921875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296.750244140625</v>
      </c>
      <c r="D47">
        <v>-1.32562255859375</v>
      </c>
      <c r="E47">
        <v>-1.1406097412109375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296.65966796875</v>
      </c>
      <c r="D48">
        <v>-0.7111663818359375</v>
      </c>
      <c r="E48">
        <v>-0.864776611328125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296.732421875</v>
      </c>
      <c r="D49">
        <v>-0.3379974365234375</v>
      </c>
      <c r="E49">
        <v>-0.5287017822265625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296.4400634765625</v>
      </c>
      <c r="D50">
        <v>3.99017333984375E-2</v>
      </c>
      <c r="E50">
        <v>-0.470306396484375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295.9249267578125</v>
      </c>
      <c r="D51">
        <v>0.40118408203125</v>
      </c>
      <c r="E51">
        <v>-0.9642791748046875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295.3720703125</v>
      </c>
      <c r="D52">
        <v>6.268310546875E-2</v>
      </c>
      <c r="E52">
        <v>-1.599456787109375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294.91650390625</v>
      </c>
      <c r="D53">
        <v>-0.46185302734375</v>
      </c>
      <c r="E53">
        <v>-1.8497161865234375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294.4683837890625</v>
      </c>
      <c r="D54">
        <v>-0.8296051025390625</v>
      </c>
      <c r="E54">
        <v>-1.917266845703125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294.025634765625</v>
      </c>
      <c r="D55">
        <v>-0.9081573486328125</v>
      </c>
      <c r="E55">
        <v>-2.0336456298828125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293.63037109375</v>
      </c>
      <c r="D56">
        <v>-0.9199981689453125</v>
      </c>
      <c r="E56">
        <v>-1.94635009765625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293.2623291015625</v>
      </c>
      <c r="D57">
        <v>-0.9367523193359375</v>
      </c>
      <c r="E57">
        <v>-1.835174560546875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293.009033203125</v>
      </c>
      <c r="D58">
        <v>-0.858245849609375</v>
      </c>
      <c r="E58">
        <v>-1.798980712890625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292.787841796875</v>
      </c>
      <c r="D59">
        <v>-0.710235595703125</v>
      </c>
      <c r="E59">
        <v>-1.8110198974609375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292.10400390625</v>
      </c>
      <c r="D60">
        <v>-0.2274627685546875</v>
      </c>
      <c r="E60">
        <v>-1.8340606689453125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292.29345703125</v>
      </c>
      <c r="D61">
        <v>0.1069488525390625</v>
      </c>
      <c r="E61">
        <v>-1.842132568359375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292.175537109375</v>
      </c>
      <c r="D62">
        <v>7.20062255859375E-2</v>
      </c>
      <c r="E62">
        <v>-1.8667144775390625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292.03857421875</v>
      </c>
      <c r="D63">
        <v>-0.107696533203125</v>
      </c>
      <c r="E63">
        <v>-1.9213409423828125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291.74462890625</v>
      </c>
      <c r="D64">
        <v>-9.96551513671875E-2</v>
      </c>
      <c r="E64">
        <v>-1.85711669921875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291.293212890625</v>
      </c>
      <c r="D65">
        <v>-8.65631103515625E-2</v>
      </c>
      <c r="E65">
        <v>-1.747222900390625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291.030517578125</v>
      </c>
      <c r="D66">
        <v>6.732177734375E-2</v>
      </c>
      <c r="E66">
        <v>-1.47406005859375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290.787109375</v>
      </c>
      <c r="D67">
        <v>2.4658203125E-2</v>
      </c>
      <c r="E67">
        <v>-0.9293365478515625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290.2900390625</v>
      </c>
      <c r="D68">
        <v>-4.1229248046875E-2</v>
      </c>
      <c r="E68">
        <v>4.620361328125E-2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290.14892578125</v>
      </c>
      <c r="D69">
        <v>0.4420318603515625</v>
      </c>
      <c r="E69">
        <v>0.8333282470703125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290.465087890625</v>
      </c>
      <c r="D70">
        <v>1.4572906494140625</v>
      </c>
      <c r="E70">
        <v>0.9038848876953125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290.8271484375</v>
      </c>
      <c r="D71">
        <v>0.95941162109375</v>
      </c>
      <c r="E71">
        <v>0.9403839111328125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291.037841796875</v>
      </c>
      <c r="D72">
        <v>-1.04833984375</v>
      </c>
      <c r="E72">
        <v>1.4353179931640625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291.307373046875</v>
      </c>
      <c r="D73">
        <v>-0.8333740234375</v>
      </c>
      <c r="E73">
        <v>1.854095458984375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290.437255859375</v>
      </c>
      <c r="D74">
        <v>0.6798248291015625</v>
      </c>
      <c r="E74">
        <v>1.7386627197265625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288.470458984375</v>
      </c>
      <c r="D75">
        <v>1.774261474609375</v>
      </c>
      <c r="E75">
        <v>1.53472900390625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287.1915283203125</v>
      </c>
      <c r="D76">
        <v>1.10064697265625</v>
      </c>
      <c r="E76">
        <v>1.0164031982421875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286.8941650390625</v>
      </c>
      <c r="D77">
        <v>0.736328125</v>
      </c>
      <c r="E77">
        <v>0.7197723388671875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286.6787109375</v>
      </c>
      <c r="D78">
        <v>0.164337158203125</v>
      </c>
      <c r="E78">
        <v>0.464447021484375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286.4132080078125</v>
      </c>
      <c r="D79">
        <v>-0.1967620849609375</v>
      </c>
      <c r="E79">
        <v>9.90447998046875E-2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286.251953125</v>
      </c>
      <c r="D80">
        <v>-0.7890167236328125</v>
      </c>
      <c r="E80">
        <v>-0.2987518310546875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286.3983154296875</v>
      </c>
      <c r="D81">
        <v>-1.259521484375</v>
      </c>
      <c r="E81">
        <v>-0.6858673095703125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286.305908203125</v>
      </c>
      <c r="D82">
        <v>-1.425994873046875</v>
      </c>
      <c r="E82">
        <v>-0.742279052734375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286.2725830078125</v>
      </c>
      <c r="D83">
        <v>-1.3741912841796875</v>
      </c>
      <c r="E83">
        <v>-0.86932373046875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285.5604248046875</v>
      </c>
      <c r="D84">
        <v>-1.2008819580078125</v>
      </c>
      <c r="E84">
        <v>-0.4792022705078125</v>
      </c>
      <c r="F84">
        <v>4.76837158203125E-7</v>
      </c>
      <c r="G84">
        <f>Sayfa1!F84*1000</f>
        <v>4.76837158203125E-4</v>
      </c>
    </row>
    <row r="85" spans="2:7" x14ac:dyDescent="0.3">
      <c r="B85" s="1">
        <v>0.45833333333333331</v>
      </c>
      <c r="C85">
        <v>285.821044921875</v>
      </c>
      <c r="D85">
        <v>-1.07843017578125</v>
      </c>
      <c r="E85">
        <v>-0.6396484375</v>
      </c>
      <c r="F85">
        <v>4.76837158203125E-7</v>
      </c>
      <c r="G85">
        <f>Sayfa1!F85*1000</f>
        <v>4.76837158203125E-4</v>
      </c>
    </row>
    <row r="86" spans="2:7" x14ac:dyDescent="0.3">
      <c r="B86" s="1">
        <v>0.5</v>
      </c>
      <c r="C86">
        <v>285.90768432617188</v>
      </c>
      <c r="D86">
        <v>-1.25299072265625</v>
      </c>
      <c r="E86">
        <v>-0.7961273193359375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285.96099853515625</v>
      </c>
      <c r="D87">
        <v>-1.180328369140625</v>
      </c>
      <c r="E87">
        <v>-0.9471893310546875</v>
      </c>
      <c r="F87">
        <v>4.76837158203125E-7</v>
      </c>
      <c r="G87">
        <f>Sayfa1!F87*1000</f>
        <v>4.76837158203125E-4</v>
      </c>
    </row>
    <row r="88" spans="2:7" x14ac:dyDescent="0.3">
      <c r="B88" s="1">
        <v>0.58333333333333337</v>
      </c>
      <c r="C88">
        <v>286.053955078125</v>
      </c>
      <c r="D88">
        <v>-0.960693359375</v>
      </c>
      <c r="E88">
        <v>-0.81982421875</v>
      </c>
      <c r="F88">
        <v>2.384185791015625E-6</v>
      </c>
      <c r="G88">
        <f>Sayfa1!F88*1000</f>
        <v>2.384185791015625E-3</v>
      </c>
    </row>
    <row r="89" spans="2:7" x14ac:dyDescent="0.3">
      <c r="B89" s="1">
        <v>0.625</v>
      </c>
      <c r="C89">
        <v>285.80419921875</v>
      </c>
      <c r="D89">
        <v>-0.5974884033203125</v>
      </c>
      <c r="E89">
        <v>-0.85894775390625</v>
      </c>
      <c r="F89">
        <v>0</v>
      </c>
      <c r="G89">
        <f>Sayfa1!F89*1000</f>
        <v>0</v>
      </c>
    </row>
    <row r="90" spans="2:7" x14ac:dyDescent="0.3">
      <c r="B90" s="1">
        <v>0.66666666666666663</v>
      </c>
      <c r="C90">
        <v>285.37802124023438</v>
      </c>
      <c r="D90">
        <v>-0.130767822265625</v>
      </c>
      <c r="E90">
        <v>-0.93450927734375</v>
      </c>
      <c r="F90">
        <v>0</v>
      </c>
      <c r="G90">
        <f>Sayfa1!F90*1000</f>
        <v>0</v>
      </c>
    </row>
    <row r="91" spans="2:7" x14ac:dyDescent="0.3">
      <c r="B91" s="1">
        <v>0.70833333333333337</v>
      </c>
      <c r="C91">
        <v>285.48818969726563</v>
      </c>
      <c r="D91">
        <v>-9.12017822265625E-2</v>
      </c>
      <c r="E91">
        <v>-0.957794189453125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286.62701416015625</v>
      </c>
      <c r="D92">
        <v>8.95233154296875E-2</v>
      </c>
      <c r="E92">
        <v>-0.9658355712890625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288.361328125</v>
      </c>
      <c r="D93">
        <v>0.302459716796875</v>
      </c>
      <c r="E93">
        <v>-1.3683624267578125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289.956298828125</v>
      </c>
      <c r="D94">
        <v>0.4290313720703125</v>
      </c>
      <c r="E94">
        <v>-1.4586029052734375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291.1492919921875</v>
      </c>
      <c r="D95">
        <v>0.4189300537109375</v>
      </c>
      <c r="E95">
        <v>-1.422821044921875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290.4234619140625</v>
      </c>
      <c r="D96">
        <v>0.1289215087890625</v>
      </c>
      <c r="E96">
        <v>-0.619964599609375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290.724609375</v>
      </c>
      <c r="D97">
        <v>0.150054931640625</v>
      </c>
      <c r="E97">
        <v>-8.76312255859375E-2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290.468994140625</v>
      </c>
      <c r="D98">
        <v>0.297637939453125</v>
      </c>
      <c r="E98">
        <v>-0.5684814453125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290.1656494140625</v>
      </c>
      <c r="D99">
        <v>0.4504547119140625</v>
      </c>
      <c r="E99">
        <v>-1.0135955810546875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289.885498046875</v>
      </c>
      <c r="D100">
        <v>0.4505462646484375</v>
      </c>
      <c r="E100">
        <v>-1.2223968505859375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289.43572998046875</v>
      </c>
      <c r="D101">
        <v>0.385162353515625</v>
      </c>
      <c r="E101">
        <v>-1.57928466796875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288.85687255859375</v>
      </c>
      <c r="D102">
        <v>2.032470703125E-2</v>
      </c>
      <c r="E102">
        <v>-1.9311676025390625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288.443115234375</v>
      </c>
      <c r="D103">
        <v>-0.2833709716796875</v>
      </c>
      <c r="E103">
        <v>-2.1578369140625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288.0457763671875</v>
      </c>
      <c r="D104">
        <v>-0.51007080078125</v>
      </c>
      <c r="E104">
        <v>-2.4166107177734375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287.7591552734375</v>
      </c>
      <c r="D105">
        <v>-0.6103668212890625</v>
      </c>
      <c r="E105">
        <v>-2.6110382080078125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287.60498046875</v>
      </c>
      <c r="D106">
        <v>-0.5989837646484375</v>
      </c>
      <c r="E106">
        <v>-2.666229248046875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287.549072265625</v>
      </c>
      <c r="D107">
        <v>-0.5938873291015625</v>
      </c>
      <c r="E107">
        <v>-2.6827850341796875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287.9287109375</v>
      </c>
      <c r="D108">
        <v>-0.2645721435546875</v>
      </c>
      <c r="E108">
        <v>-2.9105224609375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288.332275390625</v>
      </c>
      <c r="D109">
        <v>-0.607208251953125</v>
      </c>
      <c r="E109">
        <v>-2.7753753662109375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288.8907470703125</v>
      </c>
      <c r="D110">
        <v>-0.8055419921875</v>
      </c>
      <c r="E110">
        <v>-2.6625823974609375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289.27587890625</v>
      </c>
      <c r="D111">
        <v>-0.7803955078125</v>
      </c>
      <c r="E111">
        <v>-2.64984130859375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289.6524658203125</v>
      </c>
      <c r="D112">
        <v>-0.7318267822265625</v>
      </c>
      <c r="E112">
        <v>-2.622955322265625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290.00341796875</v>
      </c>
      <c r="D113">
        <v>-0.75555419921875</v>
      </c>
      <c r="E113">
        <v>-2.68731689453125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290.2724609375</v>
      </c>
      <c r="D114">
        <v>-0.747589111328125</v>
      </c>
      <c r="E114">
        <v>-2.58282470703125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290.5008544921875</v>
      </c>
      <c r="D115">
        <v>-0.6034088134765625</v>
      </c>
      <c r="E115">
        <v>-2.2092437744140625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290.687744140625</v>
      </c>
      <c r="D116">
        <v>-0.4864349365234375</v>
      </c>
      <c r="E116">
        <v>-1.949615478515625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292.4713134765625</v>
      </c>
      <c r="D117">
        <v>-0.6087188720703125</v>
      </c>
      <c r="E117">
        <v>-1.76416015625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294.322265625</v>
      </c>
      <c r="D118">
        <v>-1.0545196533203125</v>
      </c>
      <c r="E118">
        <v>-1.70538330078125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295.4713134765625</v>
      </c>
      <c r="D119">
        <v>-1.2397918701171875</v>
      </c>
      <c r="E119">
        <v>-1.3585968017578125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295.6248779296875</v>
      </c>
      <c r="D120">
        <v>-0.3563690185546875</v>
      </c>
      <c r="E120">
        <v>-0.6366424560546875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295.5035400390625</v>
      </c>
      <c r="D121">
        <v>0.2024688720703125</v>
      </c>
      <c r="E121">
        <v>-0.25909423828125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295.0511474609375</v>
      </c>
      <c r="D122">
        <v>0.3955841064453125</v>
      </c>
      <c r="E122">
        <v>-5.84259033203125E-2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294.7943115234375</v>
      </c>
      <c r="D123">
        <v>0.5443267822265625</v>
      </c>
      <c r="E123">
        <v>-0.8040924072265625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294.61468505859375</v>
      </c>
      <c r="D124">
        <v>0.2695770263671875</v>
      </c>
      <c r="E124">
        <v>-1.525634765625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294.510498046875</v>
      </c>
      <c r="D125">
        <v>-1.53045654296875E-2</v>
      </c>
      <c r="E125">
        <v>-1.9781494140625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294.44390869140625</v>
      </c>
      <c r="D126">
        <v>-0.3932342529296875</v>
      </c>
      <c r="E126">
        <v>-2.102264404296875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294.27200317382813</v>
      </c>
      <c r="D127">
        <v>-0.5317840576171875</v>
      </c>
      <c r="E127">
        <v>-2.0796966552734375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294.13040161132813</v>
      </c>
      <c r="D128">
        <v>-0.5665130615234375</v>
      </c>
      <c r="E128">
        <v>-2.1719970703125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293.9486083984375</v>
      </c>
      <c r="D129">
        <v>-0.58367919921875</v>
      </c>
      <c r="E129">
        <v>-2.22857666015625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293.573486328125</v>
      </c>
      <c r="D130">
        <v>-0.4263916015625</v>
      </c>
      <c r="E130">
        <v>-2.39111328125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293.33489990234375</v>
      </c>
      <c r="D131">
        <v>-0.5508880615234375</v>
      </c>
      <c r="E131">
        <v>-2.4369659423828125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292.954833984375</v>
      </c>
      <c r="D132">
        <v>-0.5348052978515625</v>
      </c>
      <c r="E132">
        <v>-2.3887939453125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292.7431640625</v>
      </c>
      <c r="D133">
        <v>-0.55731201171875</v>
      </c>
      <c r="E133">
        <v>-2.2614593505859375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292.4404296875</v>
      </c>
      <c r="D134">
        <v>-0.33978271484375</v>
      </c>
      <c r="E134">
        <v>-2.4063873291015625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292.3472900390625</v>
      </c>
      <c r="D135">
        <v>-0.4342498779296875</v>
      </c>
      <c r="E135">
        <v>-2.478759765625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292.321533203125</v>
      </c>
      <c r="D136">
        <v>-0.567291259765625</v>
      </c>
      <c r="E136">
        <v>-2.4184112548828125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292.0986328125</v>
      </c>
      <c r="D137">
        <v>-0.64434814453125</v>
      </c>
      <c r="E137">
        <v>-2.3898468017578125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292.017578125</v>
      </c>
      <c r="D138">
        <v>-0.5396270751953125</v>
      </c>
      <c r="E138">
        <v>-2.144195556640625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292.20263671875</v>
      </c>
      <c r="D139">
        <v>-0.311767578125</v>
      </c>
      <c r="E139">
        <v>-1.5860748291015625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292.3818359375</v>
      </c>
      <c r="D140">
        <v>-0.34613037109375</v>
      </c>
      <c r="E140">
        <v>-0.9930419921875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293.581787109375</v>
      </c>
      <c r="D141">
        <v>0.126007080078125</v>
      </c>
      <c r="E141">
        <v>0.3449859619140625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294.4888916015625</v>
      </c>
      <c r="D142">
        <v>0.6073455810546875</v>
      </c>
      <c r="E142">
        <v>1.1979827880859375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294.827392578125</v>
      </c>
      <c r="D143">
        <v>0.809814453125</v>
      </c>
      <c r="E143">
        <v>1.276458740234375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294.8551025390625</v>
      </c>
      <c r="D144">
        <v>0.941741943359375</v>
      </c>
      <c r="E144">
        <v>1.2744903564453125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294.474609375</v>
      </c>
      <c r="D145">
        <v>0.5685882568359375</v>
      </c>
      <c r="E145">
        <v>1.4709320068359375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293.72119140625</v>
      </c>
      <c r="D146">
        <v>0.313385009765625</v>
      </c>
      <c r="E146">
        <v>0.694915771484375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293.313720703125</v>
      </c>
      <c r="D147">
        <v>5.16357421875E-2</v>
      </c>
      <c r="E147">
        <v>0.592529296875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292.9583740234375</v>
      </c>
      <c r="D148">
        <v>-0.2216033935546875</v>
      </c>
      <c r="E148">
        <v>0.1630096435546875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292.224853515625</v>
      </c>
      <c r="D149">
        <v>-0.5025177001953125</v>
      </c>
      <c r="E149">
        <v>-0.414703369140625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291.5556640625</v>
      </c>
      <c r="D150">
        <v>-0.7566070556640625</v>
      </c>
      <c r="E150">
        <v>-0.8786468505859375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290.9208984375</v>
      </c>
      <c r="D151">
        <v>-0.8412933349609375</v>
      </c>
      <c r="E151">
        <v>-1.3302154541015625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290.543212890625</v>
      </c>
      <c r="D152">
        <v>-0.7751007080078125</v>
      </c>
      <c r="E152">
        <v>-1.6269989013671875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289.88763427734375</v>
      </c>
      <c r="D153">
        <v>-0.652099609375</v>
      </c>
      <c r="E153">
        <v>-2.031341552734375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289.451416015625</v>
      </c>
      <c r="D154">
        <v>-0.5629730224609375</v>
      </c>
      <c r="E154">
        <v>-2.230194091796875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288.82635498046875</v>
      </c>
      <c r="D155">
        <v>-0.549896240234375</v>
      </c>
      <c r="E155">
        <v>-2.3666229248046875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289.5064697265625</v>
      </c>
      <c r="D156">
        <v>-0.3772735595703125</v>
      </c>
      <c r="E156">
        <v>-2.4185943603515625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289.029296875</v>
      </c>
      <c r="D157">
        <v>-0.3841094970703125</v>
      </c>
      <c r="E157">
        <v>-2.5504913330078125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288.94427490234375</v>
      </c>
      <c r="D158">
        <v>-0.6939239501953125</v>
      </c>
      <c r="E158">
        <v>-2.60357666015625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289.773193359375</v>
      </c>
      <c r="D159">
        <v>-0.5456085205078125</v>
      </c>
      <c r="E159">
        <v>-2.668243408203125</v>
      </c>
      <c r="F159">
        <v>0</v>
      </c>
      <c r="G159">
        <f>Sayfa1!F159*1000</f>
        <v>0</v>
      </c>
    </row>
    <row r="160" spans="2:7" x14ac:dyDescent="0.3">
      <c r="B160" s="1">
        <v>0.58333333333333337</v>
      </c>
      <c r="C160">
        <v>289.6649169921875</v>
      </c>
      <c r="D160">
        <v>-0.560150146484375</v>
      </c>
      <c r="E160">
        <v>-2.9912261962890625</v>
      </c>
      <c r="F160">
        <v>0</v>
      </c>
      <c r="G160">
        <f>Sayfa1!F160*1000</f>
        <v>0</v>
      </c>
    </row>
    <row r="161" spans="2:7" x14ac:dyDescent="0.3">
      <c r="B161" s="1">
        <v>0.625</v>
      </c>
      <c r="C161">
        <v>288.6197509765625</v>
      </c>
      <c r="D161">
        <v>-0.7700653076171875</v>
      </c>
      <c r="E161">
        <v>-3.14215087890625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287.86126708984375</v>
      </c>
      <c r="D162">
        <v>-1.5722503662109375</v>
      </c>
      <c r="E162">
        <v>-3.9241485595703125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288.28094482421875</v>
      </c>
      <c r="D163">
        <v>-2.01611328125</v>
      </c>
      <c r="E163">
        <v>-4.5236053466796875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289.02850341796875</v>
      </c>
      <c r="D164">
        <v>-3.104461669921875</v>
      </c>
      <c r="E164">
        <v>-5.5460205078125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290.07672119140625</v>
      </c>
      <c r="D165">
        <v>-3.1555938720703125</v>
      </c>
      <c r="E165">
        <v>-5.5692596435546875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291.10784912109375</v>
      </c>
      <c r="D166">
        <v>-3.3097686767578125</v>
      </c>
      <c r="E166">
        <v>-5.5185546875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291.81298828125</v>
      </c>
      <c r="D167">
        <v>-3.4531402587890625</v>
      </c>
      <c r="E167">
        <v>-5.5250244140625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291.841552734375</v>
      </c>
      <c r="D168">
        <v>-3.7013092041015625</v>
      </c>
      <c r="E168">
        <v>-5.4380645751953125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291.9019775390625</v>
      </c>
      <c r="D169">
        <v>-2.6699371337890625</v>
      </c>
      <c r="E169">
        <v>-5.2138671875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291.61309814453125</v>
      </c>
      <c r="D170">
        <v>-1.7171783447265625</v>
      </c>
      <c r="E170">
        <v>-4.5824737548828125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290.8350830078125</v>
      </c>
      <c r="D171">
        <v>-1.0130462646484375</v>
      </c>
      <c r="E171">
        <v>-3.755889892578125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289.9112548828125</v>
      </c>
      <c r="D172">
        <v>-1.010162353515625</v>
      </c>
      <c r="E172">
        <v>-3.82806396484375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289.087158203125</v>
      </c>
      <c r="D173">
        <v>-1.468597412109375</v>
      </c>
      <c r="E173">
        <v>-3.895782470703125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288.563720703125</v>
      </c>
      <c r="D174">
        <v>-1.8217315673828125</v>
      </c>
      <c r="E174">
        <v>-4.230560302734375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288.268310546875</v>
      </c>
      <c r="D175">
        <v>-2.1605682373046875</v>
      </c>
      <c r="E175">
        <v>-4.8469085693359375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288.06048583984375</v>
      </c>
      <c r="D176">
        <v>-2.2301483154296875</v>
      </c>
      <c r="E176">
        <v>-5.5955047607421875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287.80169677734375</v>
      </c>
      <c r="D177">
        <v>-2.7479400634765625</v>
      </c>
      <c r="E177">
        <v>-5.8497772216796875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287.5885009765625</v>
      </c>
      <c r="D178">
        <v>-2.998291015625</v>
      </c>
      <c r="E178">
        <v>-5.912078857421875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287.34716796875</v>
      </c>
      <c r="D179">
        <v>-2.99609375</v>
      </c>
      <c r="E179">
        <v>-6.0330352783203125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289.16876220703125</v>
      </c>
      <c r="D180">
        <v>-2.6154327392578125</v>
      </c>
      <c r="E180">
        <v>-6.090576171875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289.32855224609375</v>
      </c>
      <c r="D181">
        <v>-2.8937530517578125</v>
      </c>
      <c r="E181">
        <v>-5.437896728515625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289.34930419921875</v>
      </c>
      <c r="D182">
        <v>-2.9580535888671875</v>
      </c>
      <c r="E182">
        <v>-4.7518157958984375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289.18365478515625</v>
      </c>
      <c r="D183">
        <v>-2.62432861328125</v>
      </c>
      <c r="E183">
        <v>-4.350311279296875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288.9654541015625</v>
      </c>
      <c r="D184">
        <v>-2.190704345703125</v>
      </c>
      <c r="E184">
        <v>-4.11566162109375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288.735595703125</v>
      </c>
      <c r="D185">
        <v>-1.621124267578125</v>
      </c>
      <c r="E185">
        <v>-4.107330322265625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288.6053466796875</v>
      </c>
      <c r="D186">
        <v>-1.821563720703125</v>
      </c>
      <c r="E186">
        <v>-4.2513580322265625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288.907958984375</v>
      </c>
      <c r="D187">
        <v>-2.2164306640625</v>
      </c>
      <c r="E187">
        <v>-3.632080078125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289.75390625</v>
      </c>
      <c r="D188">
        <v>-3.6729278564453125</v>
      </c>
      <c r="E188">
        <v>-4.0091094970703125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290.8624267578125</v>
      </c>
      <c r="D189">
        <v>-4.6220550537109375</v>
      </c>
      <c r="E189">
        <v>-4.583740234375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291.739990234375</v>
      </c>
      <c r="D190">
        <v>-4.3645477294921875</v>
      </c>
      <c r="E190">
        <v>-4.8531036376953125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292.3646240234375</v>
      </c>
      <c r="D191">
        <v>-3.8057708740234375</v>
      </c>
      <c r="E191">
        <v>-4.8369140625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292.803466796875</v>
      </c>
      <c r="D192">
        <v>-3.0153045654296875</v>
      </c>
      <c r="E192">
        <v>-5.1010894775390625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293.1519775390625</v>
      </c>
      <c r="D193">
        <v>-2.4317474365234375</v>
      </c>
      <c r="E193">
        <v>-4.107696533203125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293.17303466796875</v>
      </c>
      <c r="D194">
        <v>-1.174041748046875</v>
      </c>
      <c r="E194">
        <v>-3.385650634765625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292.87994384765625</v>
      </c>
      <c r="D195">
        <v>-0.741424560546875</v>
      </c>
      <c r="E195">
        <v>-3.018280029296875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292.30950927734375</v>
      </c>
      <c r="D196">
        <v>-0.5512847900390625</v>
      </c>
      <c r="E196">
        <v>-2.500091552734375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291.89093017578125</v>
      </c>
      <c r="D197">
        <v>-0.187286376953125</v>
      </c>
      <c r="E197">
        <v>-2.5330963134765625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291.755615234375</v>
      </c>
      <c r="D198">
        <v>-0.318145751953125</v>
      </c>
      <c r="E198">
        <v>-2.4907684326171875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291.75494384765625</v>
      </c>
      <c r="D199">
        <v>-0.5532379150390625</v>
      </c>
      <c r="E199">
        <v>-2.4156646728515625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291.74566650390625</v>
      </c>
      <c r="D200">
        <v>-0.521881103515625</v>
      </c>
      <c r="E200">
        <v>-2.404266357421875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291.6624755859375</v>
      </c>
      <c r="D201">
        <v>-0.5491485595703125</v>
      </c>
      <c r="E201">
        <v>-2.3931427001953125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291.50439453125</v>
      </c>
      <c r="D202">
        <v>-0.5665130615234375</v>
      </c>
      <c r="E202">
        <v>-2.417510986328125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291.20782470703125</v>
      </c>
      <c r="D203">
        <v>-0.64794921875</v>
      </c>
      <c r="E203">
        <v>-2.46295166015625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290.72576904296875</v>
      </c>
      <c r="D204">
        <v>-0.8061981201171875</v>
      </c>
      <c r="E204">
        <v>-2.478790283203125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290.5126953125</v>
      </c>
      <c r="D205">
        <v>-0.7033233642578125</v>
      </c>
      <c r="E205">
        <v>-2.3362884521484375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290.380615234375</v>
      </c>
      <c r="D206">
        <v>-0.536590576171875</v>
      </c>
      <c r="E206">
        <v>-2.3260345458984375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290.373779296875</v>
      </c>
      <c r="D207">
        <v>-0.502349853515625</v>
      </c>
      <c r="E207">
        <v>-2.4346771240234375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290.5738525390625</v>
      </c>
      <c r="D208">
        <v>-0.56317138671875</v>
      </c>
      <c r="E208">
        <v>-2.4468231201171875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290.8037109375</v>
      </c>
      <c r="D209">
        <v>-0.592620849609375</v>
      </c>
      <c r="E209">
        <v>-2.5202178955078125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291.16680908203125</v>
      </c>
      <c r="D210">
        <v>-0.48248291015625</v>
      </c>
      <c r="E210">
        <v>-2.4226531982421875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291.58038330078125</v>
      </c>
      <c r="D211">
        <v>-0.427581787109375</v>
      </c>
      <c r="E211">
        <v>-1.9896087646484375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291.81427001953125</v>
      </c>
      <c r="D212">
        <v>-0.596893310546875</v>
      </c>
      <c r="E212">
        <v>-1.886871337890625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292.853759765625</v>
      </c>
      <c r="D213">
        <v>-2.0408935546875</v>
      </c>
      <c r="E213">
        <v>-2.8297119140625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293.95184326171875</v>
      </c>
      <c r="D214">
        <v>-2.7926483154296875</v>
      </c>
      <c r="E214">
        <v>-3.030487060546875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294.5516357421875</v>
      </c>
      <c r="D215">
        <v>-3.2461395263671875</v>
      </c>
      <c r="E215">
        <v>-3.0145263671875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295.6480712890625</v>
      </c>
      <c r="D216">
        <v>-1.9628448486328125</v>
      </c>
      <c r="E216">
        <v>-2.383148193359375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295.90826416015625</v>
      </c>
      <c r="D217">
        <v>-1.9110107421875</v>
      </c>
      <c r="E217">
        <v>-1.8162384033203125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295.465087890625</v>
      </c>
      <c r="D218">
        <v>-1.328033447265625</v>
      </c>
      <c r="E218">
        <v>-0.74713134765625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294.7479248046875</v>
      </c>
      <c r="D219">
        <v>-0.716827392578125</v>
      </c>
      <c r="E219">
        <v>-0.7554931640625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294.19873046875</v>
      </c>
      <c r="D220">
        <v>-0.834136962890625</v>
      </c>
      <c r="E220">
        <v>-1.9801483154296875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293.92022705078125</v>
      </c>
      <c r="D221">
        <v>-1.0948944091796875</v>
      </c>
      <c r="E221">
        <v>-2.403533935546875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293.4925537109375</v>
      </c>
      <c r="D222">
        <v>-1.37835693359375</v>
      </c>
      <c r="E222">
        <v>-2.8270416259765625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292.6173095703125</v>
      </c>
      <c r="D223">
        <v>-1.577484130859375</v>
      </c>
      <c r="E223">
        <v>-3.1183929443359375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291.871826171875</v>
      </c>
      <c r="D224">
        <v>-1.3057403564453125</v>
      </c>
      <c r="E224">
        <v>-3.257904052734375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291.26312255859375</v>
      </c>
      <c r="D225">
        <v>-1.1149444580078125</v>
      </c>
      <c r="E225">
        <v>-3.348846435546875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290.7176513671875</v>
      </c>
      <c r="D226">
        <v>-1.331756591796875</v>
      </c>
      <c r="E226">
        <v>-3.3520965576171875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290.24932861328125</v>
      </c>
      <c r="D227">
        <v>-1.44232177734375</v>
      </c>
      <c r="E227">
        <v>-3.165802001953125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291.0194091796875</v>
      </c>
      <c r="D228">
        <v>-1.6680755615234375</v>
      </c>
      <c r="E228">
        <v>-2.76776123046875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290.671142578125</v>
      </c>
      <c r="D229">
        <v>-1.3981170654296875</v>
      </c>
      <c r="E229">
        <v>-2.7828216552734375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290.23828125</v>
      </c>
      <c r="D230">
        <v>-1.3935699462890625</v>
      </c>
      <c r="E230">
        <v>-2.812347412109375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289.78546142578125</v>
      </c>
      <c r="D231">
        <v>-1.2277984619140625</v>
      </c>
      <c r="E231">
        <v>-2.79632568359375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289.41851806640625</v>
      </c>
      <c r="D232">
        <v>-0.9313201904296875</v>
      </c>
      <c r="E232">
        <v>-2.5865325927734375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289.2613525390625</v>
      </c>
      <c r="D233">
        <v>-0.7125701904296875</v>
      </c>
      <c r="E233">
        <v>-2.413421630859375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289.16595458984375</v>
      </c>
      <c r="D234">
        <v>-0.7978057861328125</v>
      </c>
      <c r="E234">
        <v>-2.144378662109375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289.11749267578125</v>
      </c>
      <c r="D235">
        <v>-0.75775146484375</v>
      </c>
      <c r="E235">
        <v>-1.71319580078125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289.56341552734375</v>
      </c>
      <c r="D236">
        <v>-1.1163482666015625</v>
      </c>
      <c r="E236">
        <v>-2.13909912109375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290.9931640625</v>
      </c>
      <c r="D237">
        <v>-1.5343780517578125</v>
      </c>
      <c r="E237">
        <v>-2.594390869140625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292.33465576171875</v>
      </c>
      <c r="D238">
        <v>-1.2773895263671875</v>
      </c>
      <c r="E238">
        <v>-2.072265625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293.28167724609375</v>
      </c>
      <c r="D239">
        <v>-0.45782470703125</v>
      </c>
      <c r="E239">
        <v>-1.38177490234375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292.969482421875</v>
      </c>
      <c r="D240">
        <v>0.127197265625</v>
      </c>
      <c r="E240">
        <v>-0.8274688720703125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293.066162109375</v>
      </c>
      <c r="D241">
        <v>0.9621124267578125</v>
      </c>
      <c r="E241">
        <v>-8.26263427734375E-2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292.3748779296875</v>
      </c>
      <c r="D242">
        <v>1.154296875</v>
      </c>
      <c r="E242">
        <v>0.485595703125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291.3780517578125</v>
      </c>
      <c r="D243">
        <v>1.403533935546875</v>
      </c>
      <c r="E243">
        <v>0.9465179443359375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290.7181396484375</v>
      </c>
      <c r="D244">
        <v>1.245025634765625</v>
      </c>
      <c r="E244">
        <v>0.559967041015625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290.207763671875</v>
      </c>
      <c r="D245">
        <v>1.009063720703125</v>
      </c>
      <c r="E245">
        <v>0.1651458740234375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289.9141845703125</v>
      </c>
      <c r="D246">
        <v>0.6593170166015625</v>
      </c>
      <c r="E246">
        <v>-0.39813232421875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289.7740478515625</v>
      </c>
      <c r="D247">
        <v>8.380126953125E-2</v>
      </c>
      <c r="E247">
        <v>-0.9207611083984375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289.829833984375</v>
      </c>
      <c r="D248">
        <v>-0.3458251953125</v>
      </c>
      <c r="E248">
        <v>-1.16094970703125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289.9796142578125</v>
      </c>
      <c r="D249">
        <v>-0.616943359375</v>
      </c>
      <c r="E249">
        <v>-1.2150115966796875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289.9803466796875</v>
      </c>
      <c r="D250">
        <v>-0.7173614501953125</v>
      </c>
      <c r="E250">
        <v>-1.212982177734375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289.80029296875</v>
      </c>
      <c r="D251">
        <v>-0.75848388671875</v>
      </c>
      <c r="E251">
        <v>-1.2284088134765625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289.1510009765625</v>
      </c>
      <c r="D252">
        <v>-1.0528411865234375</v>
      </c>
      <c r="E252">
        <v>-1.1413726806640625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288.943603515625</v>
      </c>
      <c r="D253">
        <v>-0.9820404052734375</v>
      </c>
      <c r="E253">
        <v>-1.2542724609375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288.58837890625</v>
      </c>
      <c r="D254">
        <v>-0.9791717529296875</v>
      </c>
      <c r="E254">
        <v>-1.521453857421875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288.59912109375</v>
      </c>
      <c r="D255">
        <v>-0.9056243896484375</v>
      </c>
      <c r="E255">
        <v>-1.5161895751953125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288.576171875</v>
      </c>
      <c r="D256">
        <v>-0.8335723876953125</v>
      </c>
      <c r="E256">
        <v>-1.72314453125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288.5380859375</v>
      </c>
      <c r="D257">
        <v>-0.8592681884765625</v>
      </c>
      <c r="E257">
        <v>-1.8590240478515625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288.308837890625</v>
      </c>
      <c r="D258">
        <v>-0.807159423828125</v>
      </c>
      <c r="E258">
        <v>-1.85589599609375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288.5526123046875</v>
      </c>
      <c r="D259">
        <v>-0.7493896484375</v>
      </c>
      <c r="E259">
        <v>-1.7816009521484375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289.1619873046875</v>
      </c>
      <c r="D260">
        <v>-0.9552154541015625</v>
      </c>
      <c r="E260">
        <v>-1.73193359375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291.60382080078125</v>
      </c>
      <c r="D261">
        <v>-1.8780059814453125</v>
      </c>
      <c r="E261">
        <v>-2.5997772216796875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292.79522705078125</v>
      </c>
      <c r="D262">
        <v>-2.72161865234375</v>
      </c>
      <c r="E262">
        <v>-3.047515869140625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293.585205078125</v>
      </c>
      <c r="D263">
        <v>-2.55279541015625</v>
      </c>
      <c r="E263">
        <v>-2.9411163330078125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293.981689453125</v>
      </c>
      <c r="D264">
        <v>-1.448883056640625</v>
      </c>
      <c r="E264">
        <v>-1.955841064453125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293.9627685546875</v>
      </c>
      <c r="D265">
        <v>-1.0245819091796875</v>
      </c>
      <c r="E265">
        <v>-2.28173828125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293.4227294921875</v>
      </c>
      <c r="D266">
        <v>-0.497650146484375</v>
      </c>
      <c r="E266">
        <v>-1.70135498046875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292.7020263671875</v>
      </c>
      <c r="D267">
        <v>-0.235443115234375</v>
      </c>
      <c r="E267">
        <v>-1.853759765625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292.06610107421875</v>
      </c>
      <c r="D268">
        <v>-0.23773193359375</v>
      </c>
      <c r="E268">
        <v>-2.2238311767578125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290.9462890625</v>
      </c>
      <c r="D269">
        <v>-0.567535400390625</v>
      </c>
      <c r="E269">
        <v>-2.718597412109375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289.8966064453125</v>
      </c>
      <c r="D270">
        <v>-0.5754241943359375</v>
      </c>
      <c r="E270">
        <v>-2.8450164794921875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289.326171875</v>
      </c>
      <c r="D271">
        <v>-0.271484375</v>
      </c>
      <c r="E271">
        <v>-2.5017242431640625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289.10302734375</v>
      </c>
      <c r="D272">
        <v>-0.1263275146484375</v>
      </c>
      <c r="E272">
        <v>-2.45941162109375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288.93902587890625</v>
      </c>
      <c r="D273">
        <v>0.2005157470703125</v>
      </c>
      <c r="E273">
        <v>-2.5870819091796875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288.77008056640625</v>
      </c>
      <c r="D274">
        <v>-1.56707763671875E-2</v>
      </c>
      <c r="E274">
        <v>-2.6638336181640625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288.40966796875</v>
      </c>
      <c r="D275">
        <v>-0.4604644775390625</v>
      </c>
      <c r="E275">
        <v>-2.7935943603515625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288.62939453125</v>
      </c>
      <c r="D276">
        <v>-0.669464111328125</v>
      </c>
      <c r="E276">
        <v>-2.5280303955078125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288.18853759765625</v>
      </c>
      <c r="D277">
        <v>-0.3766326904296875</v>
      </c>
      <c r="E277">
        <v>-2.568756103515625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287.88043212890625</v>
      </c>
      <c r="D278">
        <v>3.875732421875E-3</v>
      </c>
      <c r="E278">
        <v>-2.5105438232421875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287.86688232421875</v>
      </c>
      <c r="D279">
        <v>-0.1442108154296875</v>
      </c>
      <c r="E279">
        <v>-2.5211639404296875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287.82757568359375</v>
      </c>
      <c r="D280">
        <v>-0.3054046630859375</v>
      </c>
      <c r="E280">
        <v>-2.5666961669921875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287.78289794921875</v>
      </c>
      <c r="D281">
        <v>-0.4871826171875</v>
      </c>
      <c r="E281">
        <v>-2.63421630859375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287.41534423828125</v>
      </c>
      <c r="D282">
        <v>-0.4734649658203125</v>
      </c>
      <c r="E282">
        <v>-2.5577239990234375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287.01165771484375</v>
      </c>
      <c r="D283">
        <v>-0.5060882568359375</v>
      </c>
      <c r="E283">
        <v>-2.33087158203125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287.7969970703125</v>
      </c>
      <c r="D284">
        <v>-1.9369659423828125</v>
      </c>
      <c r="E284">
        <v>-3.636474609375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288.74365234375</v>
      </c>
      <c r="D285">
        <v>-2.3371124267578125</v>
      </c>
      <c r="E285">
        <v>-3.5956268310546875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289.5184326171875</v>
      </c>
      <c r="D286">
        <v>-2.398773193359375</v>
      </c>
      <c r="E286">
        <v>-3.072021484375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290.075439453125</v>
      </c>
      <c r="D287">
        <v>-2.3084716796875</v>
      </c>
      <c r="E287">
        <v>-2.7835540771484375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290.72113037109375</v>
      </c>
      <c r="D288">
        <v>-1.879150390625</v>
      </c>
      <c r="E288">
        <v>-1.910064697265625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290.94586181640625</v>
      </c>
      <c r="D289">
        <v>-1.3822174072265625</v>
      </c>
      <c r="E289">
        <v>-1.4002838134765625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290.8201904296875</v>
      </c>
      <c r="D290">
        <v>-0.7824554443359375</v>
      </c>
      <c r="E290">
        <v>-1.1231689453125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290.287109375</v>
      </c>
      <c r="D291">
        <v>-0.3068389892578125</v>
      </c>
      <c r="E291">
        <v>-1.134063720703125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289.7005615234375</v>
      </c>
      <c r="D292">
        <v>-0.6412200927734375</v>
      </c>
      <c r="E292">
        <v>-1.65521240234375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289.1361083984375</v>
      </c>
      <c r="D293">
        <v>-0.726898193359375</v>
      </c>
      <c r="E293">
        <v>-1.96307373046875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288.65277099609375</v>
      </c>
      <c r="D294">
        <v>-0.409027099609375</v>
      </c>
      <c r="E294">
        <v>-2.260009765625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288.2435302734375</v>
      </c>
      <c r="D295">
        <v>-0.8249053955078125</v>
      </c>
      <c r="E295">
        <v>-2.3297576904296875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287.73486328125</v>
      </c>
      <c r="D296">
        <v>-0.8858184814453125</v>
      </c>
      <c r="E296">
        <v>-2.5457763671875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287.35321044921875</v>
      </c>
      <c r="D297">
        <v>-0.775604248046875</v>
      </c>
      <c r="E297">
        <v>-2.6116485595703125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287.0966796875</v>
      </c>
      <c r="D298">
        <v>-0.6696319580078125</v>
      </c>
      <c r="E298">
        <v>-2.57763671875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286.89752197265625</v>
      </c>
      <c r="D299">
        <v>-0.60931396484375</v>
      </c>
      <c r="E299">
        <v>-2.6479034423828125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286.79925537109375</v>
      </c>
      <c r="D300">
        <v>-0.8225860595703125</v>
      </c>
      <c r="E300">
        <v>-2.5135955810546875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286.6695556640625</v>
      </c>
      <c r="D301">
        <v>-0.891845703125</v>
      </c>
      <c r="E301">
        <v>-2.5485076904296875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286.1900634765625</v>
      </c>
      <c r="D302">
        <v>-0.8971710205078125</v>
      </c>
      <c r="E302">
        <v>-2.7730255126953125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285.54815673828125</v>
      </c>
      <c r="D303">
        <v>-1.0357208251953125</v>
      </c>
      <c r="E303">
        <v>-2.8352508544921875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285.17706298828125</v>
      </c>
      <c r="D304">
        <v>-0.9771270751953125</v>
      </c>
      <c r="E304">
        <v>-2.7096099853515625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284.85345458984375</v>
      </c>
      <c r="D305">
        <v>-0.9501800537109375</v>
      </c>
      <c r="E305">
        <v>-2.8305511474609375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284.29412841796875</v>
      </c>
      <c r="D306">
        <v>-1.3853912353515625</v>
      </c>
      <c r="E306">
        <v>-3.248870849609375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284.51812744140625</v>
      </c>
      <c r="D307">
        <v>-2.018951416015625</v>
      </c>
      <c r="E307">
        <v>-4.02978515625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285.651123046875</v>
      </c>
      <c r="D308">
        <v>-3.366180419921875</v>
      </c>
      <c r="E308">
        <v>-4.72052001953125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286.64703369140625</v>
      </c>
      <c r="D309">
        <v>-3.83953857421875</v>
      </c>
      <c r="E309">
        <v>-4.5642852783203125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287.4864501953125</v>
      </c>
      <c r="D310">
        <v>-4.08837890625</v>
      </c>
      <c r="E310">
        <v>-4.1723785400390625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288.1593017578125</v>
      </c>
      <c r="D311">
        <v>-4.120880126953125</v>
      </c>
      <c r="E311">
        <v>-3.73870849609375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288.80987548828125</v>
      </c>
      <c r="D312">
        <v>-3.34442138671875</v>
      </c>
      <c r="E312">
        <v>-2.7783966064453125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289.25994873046875</v>
      </c>
      <c r="D313">
        <v>-3.1917724609375</v>
      </c>
      <c r="E313">
        <v>-2.401336669921875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289.291015625</v>
      </c>
      <c r="D314">
        <v>-2.5604705810546875</v>
      </c>
      <c r="E314">
        <v>-2.048858642578125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288.8521728515625</v>
      </c>
      <c r="D315">
        <v>-1.656036376953125</v>
      </c>
      <c r="E315">
        <v>-2.07080078125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288.1092529296875</v>
      </c>
      <c r="D316">
        <v>-1.28009033203125</v>
      </c>
      <c r="E316">
        <v>-2.4221649169921875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287.34161376953125</v>
      </c>
      <c r="D317">
        <v>-1.0959625244140625</v>
      </c>
      <c r="E317">
        <v>-2.826629638671875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286.84613037109375</v>
      </c>
      <c r="D318">
        <v>-0.9036865234375</v>
      </c>
      <c r="E318">
        <v>-2.9998931884765625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286.525634765625</v>
      </c>
      <c r="D319">
        <v>-0.786285400390625</v>
      </c>
      <c r="E319">
        <v>-3.01025390625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286.29779052734375</v>
      </c>
      <c r="D320">
        <v>-0.698028564453125</v>
      </c>
      <c r="E320">
        <v>-2.9819183349609375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286.2003173828125</v>
      </c>
      <c r="D321">
        <v>-0.6620025634765625</v>
      </c>
      <c r="E321">
        <v>-2.9200439453125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286.1953125</v>
      </c>
      <c r="D322">
        <v>-0.6877593994140625</v>
      </c>
      <c r="E322">
        <v>-2.9048614501953125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286.1031494140625</v>
      </c>
      <c r="D323">
        <v>-0.7547149658203125</v>
      </c>
      <c r="E323">
        <v>-2.9978179931640625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286.2275390625</v>
      </c>
      <c r="D324">
        <v>-0.5229339599609375</v>
      </c>
      <c r="E324">
        <v>-2.5703277587890625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286.63592529296875</v>
      </c>
      <c r="D325">
        <v>-0.576385498046875</v>
      </c>
      <c r="E325">
        <v>-2.5240478515625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286.96551513671875</v>
      </c>
      <c r="D326">
        <v>-0.7086181640625</v>
      </c>
      <c r="E326">
        <v>-2.506927490234375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287.301513671875</v>
      </c>
      <c r="D327">
        <v>-0.7622528076171875</v>
      </c>
      <c r="E327">
        <v>-2.4840240478515625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287.48724365234375</v>
      </c>
      <c r="D328">
        <v>-0.7095184326171875</v>
      </c>
      <c r="E328">
        <v>-2.46807861328125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287.3995361328125</v>
      </c>
      <c r="D329">
        <v>-0.7186737060546875</v>
      </c>
      <c r="E329">
        <v>-2.582550048828125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287.1552734375</v>
      </c>
      <c r="D330">
        <v>-0.692779541015625</v>
      </c>
      <c r="E330">
        <v>-2.50848388671875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286.8096923828125</v>
      </c>
      <c r="D331">
        <v>-0.609375</v>
      </c>
      <c r="E331">
        <v>-2.11773681640625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287.23455810546875</v>
      </c>
      <c r="D332">
        <v>-1.585174560546875</v>
      </c>
      <c r="E332">
        <v>-2.894927978515625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288.47503662109375</v>
      </c>
      <c r="D333">
        <v>-2.8421173095703125</v>
      </c>
      <c r="E333">
        <v>-3.3627166748046875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289.548828125</v>
      </c>
      <c r="D334">
        <v>-2.938201904296875</v>
      </c>
      <c r="E334">
        <v>-3.3015594482421875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290.4754638671875</v>
      </c>
      <c r="D335">
        <v>-2.7768707275390625</v>
      </c>
      <c r="E335">
        <v>-3.289154052734375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290.705078125</v>
      </c>
      <c r="D336">
        <v>-1.222198486328125</v>
      </c>
      <c r="E336">
        <v>-2.2666473388671875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291.344482421875</v>
      </c>
      <c r="D337">
        <v>-1.0352020263671875</v>
      </c>
      <c r="E337">
        <v>-2.093994140625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291.36810302734375</v>
      </c>
      <c r="D338">
        <v>-0.4815216064453125</v>
      </c>
      <c r="E338">
        <v>-1.498138427734375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290.71942138671875</v>
      </c>
      <c r="D339">
        <v>0.184661865234375</v>
      </c>
      <c r="E339">
        <v>-1.358673095703125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290.05609130859375</v>
      </c>
      <c r="D340">
        <v>0.3112945556640625</v>
      </c>
      <c r="E340">
        <v>-1.5966339111328125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289.75830078125</v>
      </c>
      <c r="D341">
        <v>0.2891845703125</v>
      </c>
      <c r="E341">
        <v>-1.968017578125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289.6207275390625</v>
      </c>
      <c r="D342">
        <v>0.1611480712890625</v>
      </c>
      <c r="E342">
        <v>-2.3433990478515625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289.55078125</v>
      </c>
      <c r="D343">
        <v>-0.1322479248046875</v>
      </c>
      <c r="E343">
        <v>-2.664459228515625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289.44573974609375</v>
      </c>
      <c r="D344">
        <v>-0.3563995361328125</v>
      </c>
      <c r="E344">
        <v>-2.8645782470703125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289.27301025390625</v>
      </c>
      <c r="D345">
        <v>-0.5015411376953125</v>
      </c>
      <c r="E345">
        <v>-2.9674224853515625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289.07012939453125</v>
      </c>
      <c r="D346">
        <v>-0.6020660400390625</v>
      </c>
      <c r="E346">
        <v>-3.0227508544921875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288.92962646484375</v>
      </c>
      <c r="D347">
        <v>-0.749847412109375</v>
      </c>
      <c r="E347">
        <v>-2.9611053466796875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289.86688232421875</v>
      </c>
      <c r="D348">
        <v>-0.5656280517578125</v>
      </c>
      <c r="E348">
        <v>-2.69140625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289.78973388671875</v>
      </c>
      <c r="D349">
        <v>-0.476806640625</v>
      </c>
      <c r="E349">
        <v>-2.5452728271484375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289.78277587890625</v>
      </c>
      <c r="D350">
        <v>-0.6600341796875</v>
      </c>
      <c r="E350">
        <v>-2.4990234375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289.86920166015625</v>
      </c>
      <c r="D351">
        <v>-0.763763427734375</v>
      </c>
      <c r="E351">
        <v>-2.504638671875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289.893310546875</v>
      </c>
      <c r="D352">
        <v>-0.9265594482421875</v>
      </c>
      <c r="E352">
        <v>-2.505767822265625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289.73406982421875</v>
      </c>
      <c r="D353">
        <v>-0.9535369873046875</v>
      </c>
      <c r="E353">
        <v>-2.5727386474609375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289.54473876953125</v>
      </c>
      <c r="D354">
        <v>-0.850738525390625</v>
      </c>
      <c r="E354">
        <v>-2.424407958984375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289.40771484375</v>
      </c>
      <c r="D355">
        <v>-0.8468017578125</v>
      </c>
      <c r="E355">
        <v>-2.14324951171875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289.95098876953125</v>
      </c>
      <c r="D356">
        <v>-1.711761474609375</v>
      </c>
      <c r="E356">
        <v>-2.9257965087890625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291.371337890625</v>
      </c>
      <c r="D357">
        <v>-2.9669342041015625</v>
      </c>
      <c r="E357">
        <v>-3.46356201171875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292.34661865234375</v>
      </c>
      <c r="D358">
        <v>-3.5076446533203125</v>
      </c>
      <c r="E358">
        <v>-3.2776947021484375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292.96258544921875</v>
      </c>
      <c r="D359">
        <v>-3.56268310546875</v>
      </c>
      <c r="E359">
        <v>-2.9076690673828125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293.24273681640625</v>
      </c>
      <c r="D360">
        <v>-3.4461212158203125</v>
      </c>
      <c r="E360">
        <v>-2.1990203857421875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293.42205810546875</v>
      </c>
      <c r="D361">
        <v>-2.6895751953125</v>
      </c>
      <c r="E361">
        <v>-1.790069580078125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293.09088134765625</v>
      </c>
      <c r="D362">
        <v>-1.750640869140625</v>
      </c>
      <c r="E362">
        <v>-1.2086944580078125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292.16204833984375</v>
      </c>
      <c r="D363">
        <v>-0.7774505615234375</v>
      </c>
      <c r="E363">
        <v>-1.343292236328125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291.18499755859375</v>
      </c>
      <c r="D364">
        <v>-0.4994354248046875</v>
      </c>
      <c r="E364">
        <v>-2.0311279296875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290.5032958984375</v>
      </c>
      <c r="D365">
        <v>-1.0264892578125</v>
      </c>
      <c r="E365">
        <v>-2.382904052734375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290.124755859375</v>
      </c>
      <c r="D366">
        <v>-1.126678466796875</v>
      </c>
      <c r="E366">
        <v>-2.473358154296875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289.91253662109375</v>
      </c>
      <c r="D367">
        <v>-1.0009918212890625</v>
      </c>
      <c r="E367">
        <v>-2.54302978515625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289.78765869140625</v>
      </c>
      <c r="D368">
        <v>-0.8254241943359375</v>
      </c>
      <c r="E368">
        <v>-2.6409912109375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289.73260498046875</v>
      </c>
      <c r="D369">
        <v>-0.649658203125</v>
      </c>
      <c r="E369">
        <v>-2.6584625244140625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289.708984375</v>
      </c>
      <c r="D370">
        <v>-0.5282135009765625</v>
      </c>
      <c r="E370">
        <v>-2.61090087890625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289.69171142578125</v>
      </c>
      <c r="D371">
        <v>-0.514801025390625</v>
      </c>
      <c r="E371">
        <v>-2.55938720703125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289.348388671875</v>
      </c>
      <c r="D372">
        <v>-0.2247467041015625</v>
      </c>
      <c r="E372">
        <v>-2.5639495849609375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289.4151611328125</v>
      </c>
      <c r="D373">
        <v>-0.318084716796875</v>
      </c>
      <c r="E373">
        <v>-2.505950927734375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289.51165771484375</v>
      </c>
      <c r="D374">
        <v>-0.414886474609375</v>
      </c>
      <c r="E374">
        <v>-2.42291259765625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289.5</v>
      </c>
      <c r="D375">
        <v>-0.462890625</v>
      </c>
      <c r="E375">
        <v>-2.4415283203125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289.3741455078125</v>
      </c>
      <c r="D376">
        <v>-0.5324554443359375</v>
      </c>
      <c r="E376">
        <v>-2.519195556640625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289.22418212890625</v>
      </c>
      <c r="D377">
        <v>-0.5070037841796875</v>
      </c>
      <c r="E377">
        <v>-2.5792083740234375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289.1728515625</v>
      </c>
      <c r="D378">
        <v>-0.4532470703125</v>
      </c>
      <c r="E378">
        <v>-2.32257080078125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289.16058349609375</v>
      </c>
      <c r="D379">
        <v>-0.3737945556640625</v>
      </c>
      <c r="E379">
        <v>-1.830108642578125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289.35330200195313</v>
      </c>
      <c r="D380">
        <v>-0.4962005615234375</v>
      </c>
      <c r="E380">
        <v>-1.4938201904296875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290.795654296875</v>
      </c>
      <c r="D381">
        <v>-1.0490875244140625</v>
      </c>
      <c r="E381">
        <v>-1.0953521728515625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291.66925048828125</v>
      </c>
      <c r="D382">
        <v>-0.9632110595703125</v>
      </c>
      <c r="E382">
        <v>-2.11334228515625E-2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291.9796142578125</v>
      </c>
      <c r="D383">
        <v>-6.561279296875E-4</v>
      </c>
      <c r="E383">
        <v>0.971099853515625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291.106689453125</v>
      </c>
      <c r="D384">
        <v>1.349456787109375</v>
      </c>
      <c r="E384">
        <v>1.856475830078125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290.401123046875</v>
      </c>
      <c r="D385">
        <v>1.9354705810546875</v>
      </c>
      <c r="E385">
        <v>1.800048828125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289.4644775390625</v>
      </c>
      <c r="D386">
        <v>1.9662933349609375</v>
      </c>
      <c r="E386">
        <v>1.6092987060546875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288.281982421875</v>
      </c>
      <c r="D387">
        <v>1.3227386474609375</v>
      </c>
      <c r="E387">
        <v>1.3380279541015625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287.54119873046875</v>
      </c>
      <c r="D388">
        <v>1.0874481201171875</v>
      </c>
      <c r="E388">
        <v>1.1255950927734375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287.07635498046875</v>
      </c>
      <c r="D389">
        <v>0.59661865234375</v>
      </c>
      <c r="E389">
        <v>0.9945831298828125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286.4696044921875</v>
      </c>
      <c r="D390">
        <v>-3.77349853515625E-2</v>
      </c>
      <c r="E390">
        <v>0.84332275390625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285.80816650390625</v>
      </c>
      <c r="D391">
        <v>-0.5963592529296875</v>
      </c>
      <c r="E391">
        <v>0.724456787109375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285.19879150390625</v>
      </c>
      <c r="D392">
        <v>-0.93780517578125</v>
      </c>
      <c r="E392">
        <v>0.5225982666015625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284.7066650390625</v>
      </c>
      <c r="D393">
        <v>-1.012725830078125</v>
      </c>
      <c r="E393">
        <v>0.3088836669921875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284.24005126953125</v>
      </c>
      <c r="D394">
        <v>-0.843475341796875</v>
      </c>
      <c r="E394">
        <v>-6.201171875E-2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283.8651123046875</v>
      </c>
      <c r="D395">
        <v>-0.7477874755859375</v>
      </c>
      <c r="E395">
        <v>-0.453216552734375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283.30950927734375</v>
      </c>
      <c r="D396">
        <v>-0.6456756591796875</v>
      </c>
      <c r="E396">
        <v>-0.782958984375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283.216064453125</v>
      </c>
      <c r="D397">
        <v>-0.6805572509765625</v>
      </c>
      <c r="E397">
        <v>-0.70074462890625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283.06256103515625</v>
      </c>
      <c r="D398">
        <v>-0.59320068359375</v>
      </c>
      <c r="E398">
        <v>-0.466156005859375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282.75445556640625</v>
      </c>
      <c r="D399">
        <v>-0.8708343505859375</v>
      </c>
      <c r="E399">
        <v>-0.5184478759765625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282.557373046875</v>
      </c>
      <c r="D400">
        <v>-0.998291015625</v>
      </c>
      <c r="E400">
        <v>-0.351806640625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282.50750732421875</v>
      </c>
      <c r="D401">
        <v>-0.9003753662109375</v>
      </c>
      <c r="E401">
        <v>-0.440673828125</v>
      </c>
      <c r="F401">
        <v>0</v>
      </c>
      <c r="G401">
        <f>Sayfa1!F401*1000</f>
        <v>0</v>
      </c>
    </row>
    <row r="402" spans="2:7" x14ac:dyDescent="0.3">
      <c r="B402" s="1">
        <v>0.66666666666666663</v>
      </c>
      <c r="C402">
        <v>282.507080078125</v>
      </c>
      <c r="D402">
        <v>-0.7862548828125</v>
      </c>
      <c r="E402">
        <v>-0.25726318359375</v>
      </c>
      <c r="F402">
        <v>4.76837158203125E-7</v>
      </c>
      <c r="G402">
        <f>Sayfa1!F402*1000</f>
        <v>4.76837158203125E-4</v>
      </c>
    </row>
    <row r="403" spans="2:7" x14ac:dyDescent="0.3">
      <c r="B403" s="1">
        <v>0.70833333333333337</v>
      </c>
      <c r="C403">
        <v>282.70037841796875</v>
      </c>
      <c r="D403">
        <v>-0.9310455322265625</v>
      </c>
      <c r="E403">
        <v>0.8784637451171875</v>
      </c>
      <c r="F403">
        <v>1.430511474609375E-6</v>
      </c>
      <c r="G403">
        <f>Sayfa1!F403*1000</f>
        <v>1.430511474609375E-3</v>
      </c>
    </row>
    <row r="404" spans="2:7" x14ac:dyDescent="0.3">
      <c r="B404" s="1">
        <v>0.75</v>
      </c>
      <c r="C404">
        <v>283.89837646484375</v>
      </c>
      <c r="D404">
        <v>-0.6408233642578125</v>
      </c>
      <c r="E404">
        <v>1.377777099609375</v>
      </c>
      <c r="F404">
        <v>0</v>
      </c>
      <c r="G404">
        <f>Sayfa1!F404*1000</f>
        <v>0</v>
      </c>
    </row>
    <row r="405" spans="2:7" x14ac:dyDescent="0.3">
      <c r="B405" s="1">
        <v>0.79166666666666663</v>
      </c>
      <c r="C405">
        <v>284.93121337890625</v>
      </c>
      <c r="D405">
        <v>0.1005706787109375</v>
      </c>
      <c r="E405">
        <v>1.9016571044921875</v>
      </c>
      <c r="F405">
        <v>0</v>
      </c>
      <c r="G405">
        <f>Sayfa1!F405*1000</f>
        <v>0</v>
      </c>
    </row>
    <row r="406" spans="2:7" x14ac:dyDescent="0.3">
      <c r="B406" s="1">
        <v>0.83333333333333337</v>
      </c>
      <c r="C406">
        <v>285.7672119140625</v>
      </c>
      <c r="D406">
        <v>0.7863006591796875</v>
      </c>
      <c r="E406">
        <v>2.3131103515625</v>
      </c>
      <c r="F406">
        <v>0</v>
      </c>
      <c r="G406">
        <f>Sayfa1!F406*1000</f>
        <v>0</v>
      </c>
    </row>
    <row r="407" spans="2:7" x14ac:dyDescent="0.3">
      <c r="B407" s="1">
        <v>0.875</v>
      </c>
      <c r="C407">
        <v>286.459716796875</v>
      </c>
      <c r="D407">
        <v>1.4135894775390625</v>
      </c>
      <c r="E407">
        <v>2.5126953125</v>
      </c>
      <c r="F407">
        <v>0</v>
      </c>
      <c r="G407">
        <f>Sayfa1!F407*1000</f>
        <v>0</v>
      </c>
    </row>
    <row r="408" spans="2:7" x14ac:dyDescent="0.3">
      <c r="B408" s="1">
        <v>0.91666666666666663</v>
      </c>
      <c r="C408">
        <v>286.6219482421875</v>
      </c>
      <c r="D408">
        <v>0.6018524169921875</v>
      </c>
      <c r="E408">
        <v>1.482421875</v>
      </c>
      <c r="F408">
        <v>0</v>
      </c>
      <c r="G408">
        <f>Sayfa1!F408*1000</f>
        <v>0</v>
      </c>
    </row>
    <row r="409" spans="2:7" x14ac:dyDescent="0.3">
      <c r="B409" s="1">
        <v>0.95833333333333337</v>
      </c>
      <c r="C409">
        <v>287.136962890625</v>
      </c>
      <c r="D409">
        <v>0.83673095703125</v>
      </c>
      <c r="E409">
        <v>1.980133056640625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286.6639404296875</v>
      </c>
      <c r="D410">
        <v>0.9417877197265625</v>
      </c>
      <c r="E410">
        <v>2.0798797607421875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285.733154296875</v>
      </c>
      <c r="D411">
        <v>0.7666168212890625</v>
      </c>
      <c r="E411">
        <v>1.4754638671875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284.9053955078125</v>
      </c>
      <c r="D412">
        <v>0.6190185546875</v>
      </c>
      <c r="E412">
        <v>1.308319091796875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284.40081787109375</v>
      </c>
      <c r="D413">
        <v>0.1958160400390625</v>
      </c>
      <c r="E413">
        <v>0.9271240234375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284.13372802734375</v>
      </c>
      <c r="D414">
        <v>-0.117431640625</v>
      </c>
      <c r="E414">
        <v>0.5503082275390625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284</v>
      </c>
      <c r="D415">
        <v>-0.5078582763671875</v>
      </c>
      <c r="E415">
        <v>0.28912353515625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283.85211181640625</v>
      </c>
      <c r="D416">
        <v>-0.5693206787109375</v>
      </c>
      <c r="E416">
        <v>0.15557861328125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283.63470458984375</v>
      </c>
      <c r="D417">
        <v>-0.6345367431640625</v>
      </c>
      <c r="E417">
        <v>-5.65032958984375E-2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283.41015625</v>
      </c>
      <c r="D418">
        <v>-0.74945068359375</v>
      </c>
      <c r="E418">
        <v>-0.43658447265625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283.31903076171875</v>
      </c>
      <c r="D419">
        <v>-0.86663818359375</v>
      </c>
      <c r="E419">
        <v>-0.7946929931640625</v>
      </c>
      <c r="F419">
        <v>2.86102294921875E-6</v>
      </c>
      <c r="G419">
        <f>Sayfa1!F419*1000</f>
        <v>2.86102294921875E-3</v>
      </c>
    </row>
    <row r="420" spans="2:7" x14ac:dyDescent="0.3">
      <c r="B420" s="1">
        <v>0.41666666666666669</v>
      </c>
      <c r="C420">
        <v>282.61474609375</v>
      </c>
      <c r="D420">
        <v>-0.830291748046875</v>
      </c>
      <c r="E420">
        <v>-1.8754119873046875</v>
      </c>
      <c r="F420">
        <v>7.152557373046875E-6</v>
      </c>
      <c r="G420">
        <f>Sayfa1!F420*1000</f>
        <v>7.152557373046875E-3</v>
      </c>
    </row>
    <row r="421" spans="2:7" x14ac:dyDescent="0.3">
      <c r="B421" s="1">
        <v>0.45833333333333331</v>
      </c>
      <c r="C421">
        <v>282.91949462890625</v>
      </c>
      <c r="D421">
        <v>-0.88189697265625</v>
      </c>
      <c r="E421">
        <v>-1.91351318359375</v>
      </c>
      <c r="F421">
        <v>5.245208740234375E-6</v>
      </c>
      <c r="G421">
        <f>Sayfa1!F421*1000</f>
        <v>5.245208740234375E-3</v>
      </c>
    </row>
    <row r="422" spans="2:7" x14ac:dyDescent="0.3">
      <c r="B422" s="1">
        <v>0.5</v>
      </c>
      <c r="C422">
        <v>283.225341796875</v>
      </c>
      <c r="D422">
        <v>-0.9560089111328125</v>
      </c>
      <c r="E422">
        <v>-1.791412353515625</v>
      </c>
      <c r="F422">
        <v>4.76837158203125E-7</v>
      </c>
      <c r="G422">
        <f>Sayfa1!F422*1000</f>
        <v>4.76837158203125E-4</v>
      </c>
    </row>
    <row r="423" spans="2:7" x14ac:dyDescent="0.3">
      <c r="B423" s="1">
        <v>0.54166666666666663</v>
      </c>
      <c r="C423">
        <v>283.34716796875</v>
      </c>
      <c r="D423">
        <v>-1.012176513671875</v>
      </c>
      <c r="E423">
        <v>-1.6314697265625</v>
      </c>
      <c r="F423">
        <v>4.76837158203125E-7</v>
      </c>
      <c r="G423">
        <f>Sayfa1!F423*1000</f>
        <v>4.76837158203125E-4</v>
      </c>
    </row>
    <row r="424" spans="2:7" x14ac:dyDescent="0.3">
      <c r="B424" s="1">
        <v>0.58333333333333337</v>
      </c>
      <c r="C424">
        <v>283.4095458984375</v>
      </c>
      <c r="D424">
        <v>-0.998626708984375</v>
      </c>
      <c r="E424">
        <v>-1.515533447265625</v>
      </c>
      <c r="F424">
        <v>9.5367431640625E-7</v>
      </c>
      <c r="G424">
        <f>Sayfa1!F424*1000</f>
        <v>9.5367431640625E-4</v>
      </c>
    </row>
    <row r="425" spans="2:7" x14ac:dyDescent="0.3">
      <c r="B425" s="1">
        <v>0.625</v>
      </c>
      <c r="C425">
        <v>283.45550537109375</v>
      </c>
      <c r="D425">
        <v>-0.85784912109375</v>
      </c>
      <c r="E425">
        <v>-1.4537200927734375</v>
      </c>
      <c r="F425">
        <v>9.5367431640625E-7</v>
      </c>
      <c r="G425">
        <f>Sayfa1!F425*1000</f>
        <v>9.5367431640625E-4</v>
      </c>
    </row>
    <row r="426" spans="2:7" x14ac:dyDescent="0.3">
      <c r="B426" s="1">
        <v>0.66666666666666663</v>
      </c>
      <c r="C426">
        <v>283.5965576171875</v>
      </c>
      <c r="D426">
        <v>-0.6277313232421875</v>
      </c>
      <c r="E426">
        <v>-0.997894287109375</v>
      </c>
      <c r="F426">
        <v>9.5367431640625E-7</v>
      </c>
      <c r="G426">
        <f>Sayfa1!F426*1000</f>
        <v>9.5367431640625E-4</v>
      </c>
    </row>
    <row r="427" spans="2:7" x14ac:dyDescent="0.3">
      <c r="B427" s="1">
        <v>0.70833333333333337</v>
      </c>
      <c r="C427">
        <v>283.840576171875</v>
      </c>
      <c r="D427">
        <v>-0.6450042724609375</v>
      </c>
      <c r="E427">
        <v>-0.3138427734375</v>
      </c>
      <c r="F427">
        <v>0</v>
      </c>
      <c r="G427">
        <f>Sayfa1!F427*1000</f>
        <v>0</v>
      </c>
    </row>
    <row r="428" spans="2:7" x14ac:dyDescent="0.3">
      <c r="B428" s="1">
        <v>0.75</v>
      </c>
      <c r="C428">
        <v>284.92138671875</v>
      </c>
      <c r="D428">
        <v>-0.81195068359375</v>
      </c>
      <c r="E428">
        <v>0.1826019287109375</v>
      </c>
      <c r="F428">
        <v>0</v>
      </c>
      <c r="G428">
        <f>Sayfa1!F428*1000</f>
        <v>0</v>
      </c>
    </row>
    <row r="429" spans="2:7" x14ac:dyDescent="0.3">
      <c r="B429" s="1">
        <v>0.79166666666666663</v>
      </c>
      <c r="C429">
        <v>286.54541015625</v>
      </c>
      <c r="D429">
        <v>-0.4884033203125</v>
      </c>
      <c r="E429">
        <v>0.3567352294921875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288.02978515625</v>
      </c>
      <c r="D430">
        <v>-0.10186767578125</v>
      </c>
      <c r="E430">
        <v>0.5455322265625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289.1756591796875</v>
      </c>
      <c r="D431">
        <v>0.3712158203125</v>
      </c>
      <c r="E431">
        <v>1.0052947998046875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288.933349609375</v>
      </c>
      <c r="D432">
        <v>0.535430908203125</v>
      </c>
      <c r="E432">
        <v>1.193695068359375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289.26611328125</v>
      </c>
      <c r="D433">
        <v>0.6713409423828125</v>
      </c>
      <c r="E433">
        <v>1.5138092041015625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288.607666015625</v>
      </c>
      <c r="D434">
        <v>1.266693115234375</v>
      </c>
      <c r="E434">
        <v>1.79638671875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286.904541015625</v>
      </c>
      <c r="D435">
        <v>1.50164794921875</v>
      </c>
      <c r="E435">
        <v>1.4289703369140625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285.6307373046875</v>
      </c>
      <c r="D436">
        <v>1.4337158203125</v>
      </c>
      <c r="E436">
        <v>0.8024444580078125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285.6282958984375</v>
      </c>
      <c r="D437">
        <v>0.8419952392578125</v>
      </c>
      <c r="E437">
        <v>-3.87115478515625E-2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286.18798828125</v>
      </c>
      <c r="D438">
        <v>0.3388824462890625</v>
      </c>
      <c r="E438">
        <v>-0.4243011474609375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286.449951171875</v>
      </c>
      <c r="D439">
        <v>0.30828857421875</v>
      </c>
      <c r="E439">
        <v>-0.378448486328125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286.226806640625</v>
      </c>
      <c r="D440">
        <v>0.436737060546875</v>
      </c>
      <c r="E440">
        <v>-0.5005035400390625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285.9267578125</v>
      </c>
      <c r="D441">
        <v>0.4215087890625</v>
      </c>
      <c r="E441">
        <v>-0.75079345703125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285.6829833984375</v>
      </c>
      <c r="D442">
        <v>0.4290618896484375</v>
      </c>
      <c r="E442">
        <v>-0.9180755615234375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285.44482421875</v>
      </c>
      <c r="D443">
        <v>0.4633331298828125</v>
      </c>
      <c r="E443">
        <v>-1.02471923828125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284.8883056640625</v>
      </c>
      <c r="D444">
        <v>-6.36749267578125E-2</v>
      </c>
      <c r="E444">
        <v>-1.203460693359375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284.8734130859375</v>
      </c>
      <c r="D445">
        <v>-0.1362762451171875</v>
      </c>
      <c r="E445">
        <v>-0.988433837890625</v>
      </c>
      <c r="F445">
        <v>0</v>
      </c>
      <c r="G445">
        <f>Sayfa1!F445*1000</f>
        <v>0</v>
      </c>
    </row>
    <row r="446" spans="2:7" x14ac:dyDescent="0.3">
      <c r="B446" s="1">
        <v>0.5</v>
      </c>
      <c r="C446">
        <v>284.797607421875</v>
      </c>
      <c r="D446">
        <v>-0.123809814453125</v>
      </c>
      <c r="E446">
        <v>-1.134307861328125</v>
      </c>
      <c r="F446">
        <v>0</v>
      </c>
      <c r="G446">
        <f>Sayfa1!F446*1000</f>
        <v>0</v>
      </c>
    </row>
    <row r="447" spans="2:7" x14ac:dyDescent="0.3">
      <c r="B447" s="1">
        <v>0.54166666666666663</v>
      </c>
      <c r="C447">
        <v>284.870849609375</v>
      </c>
      <c r="D447">
        <v>-6.74591064453125E-2</v>
      </c>
      <c r="E447">
        <v>-1.1938629150390625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284.8466796875</v>
      </c>
      <c r="D448">
        <v>-0.231689453125</v>
      </c>
      <c r="E448">
        <v>-0.9049835205078125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284.464111328125</v>
      </c>
      <c r="D449">
        <v>8.074951171875E-2</v>
      </c>
      <c r="E449">
        <v>-0.59326171875</v>
      </c>
      <c r="F449">
        <v>4.76837158203125E-7</v>
      </c>
      <c r="G449">
        <f>Sayfa1!F449*1000</f>
        <v>4.76837158203125E-4</v>
      </c>
    </row>
    <row r="450" spans="2:7" x14ac:dyDescent="0.3">
      <c r="B450" s="1">
        <v>0.66666666666666663</v>
      </c>
      <c r="C450">
        <v>284.0350341796875</v>
      </c>
      <c r="D450">
        <v>0.4266815185546875</v>
      </c>
      <c r="E450">
        <v>-0.3176116943359375</v>
      </c>
      <c r="F450">
        <v>0</v>
      </c>
      <c r="G450">
        <f>Sayfa1!F450*1000</f>
        <v>0</v>
      </c>
    </row>
    <row r="451" spans="2:7" x14ac:dyDescent="0.3">
      <c r="B451" s="1">
        <v>0.70833333333333337</v>
      </c>
      <c r="C451">
        <v>283.9801025390625</v>
      </c>
      <c r="D451">
        <v>0.6322174072265625</v>
      </c>
      <c r="E451">
        <v>0.255401611328125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284.5323486328125</v>
      </c>
      <c r="D452">
        <v>0.7415771484375</v>
      </c>
      <c r="E452">
        <v>0.8100738525390625</v>
      </c>
      <c r="F452">
        <v>2.86102294921875E-6</v>
      </c>
      <c r="G452">
        <f>Sayfa1!F452*1000</f>
        <v>2.86102294921875E-3</v>
      </c>
    </row>
    <row r="453" spans="2:7" x14ac:dyDescent="0.3">
      <c r="B453" s="1">
        <v>0.79166666666666663</v>
      </c>
      <c r="C453">
        <v>285.64111328125</v>
      </c>
      <c r="D453">
        <v>1.09588623046875</v>
      </c>
      <c r="E453">
        <v>1.192626953125</v>
      </c>
      <c r="F453">
        <v>4.76837158203125E-7</v>
      </c>
      <c r="G453">
        <f>Sayfa1!F453*1000</f>
        <v>4.76837158203125E-4</v>
      </c>
    </row>
    <row r="454" spans="2:7" x14ac:dyDescent="0.3">
      <c r="B454" s="1">
        <v>0.83333333333333337</v>
      </c>
      <c r="C454">
        <v>286.631591796875</v>
      </c>
      <c r="D454">
        <v>1.6131744384765625</v>
      </c>
      <c r="E454">
        <v>1.483795166015625</v>
      </c>
      <c r="F454">
        <v>0</v>
      </c>
      <c r="G454">
        <f>Sayfa1!F454*1000</f>
        <v>0</v>
      </c>
    </row>
    <row r="455" spans="2:7" x14ac:dyDescent="0.3">
      <c r="B455" s="1">
        <v>0.875</v>
      </c>
      <c r="C455">
        <v>287.441650390625</v>
      </c>
      <c r="D455">
        <v>2.1544342041015625</v>
      </c>
      <c r="E455">
        <v>1.876220703125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286.681884765625</v>
      </c>
      <c r="D456">
        <v>1.209991455078125</v>
      </c>
      <c r="E456">
        <v>1.1558074951171875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286.889404296875</v>
      </c>
      <c r="D457">
        <v>1.212127685546875</v>
      </c>
      <c r="E457">
        <v>1.7031707763671875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286.4853515625</v>
      </c>
      <c r="D458">
        <v>1.609405517578125</v>
      </c>
      <c r="E458">
        <v>1.561370849609375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285.3538818359375</v>
      </c>
      <c r="D459">
        <v>1.192047119140625</v>
      </c>
      <c r="E459">
        <v>1.3565673828125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284.51513671875</v>
      </c>
      <c r="D460">
        <v>1.1025238037109375</v>
      </c>
      <c r="E460">
        <v>1.250335693359375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284.1925048828125</v>
      </c>
      <c r="D461">
        <v>0.955413818359375</v>
      </c>
      <c r="E461">
        <v>0.9056854248046875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284.1646728515625</v>
      </c>
      <c r="D462">
        <v>0.67266845703125</v>
      </c>
      <c r="E462">
        <v>0.5426788330078125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284.170654296875</v>
      </c>
      <c r="D463">
        <v>0.29351806640625</v>
      </c>
      <c r="E463">
        <v>0.14471435546875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284.095947265625</v>
      </c>
      <c r="D464">
        <v>8.04290771484375E-2</v>
      </c>
      <c r="E464">
        <v>-4.43267822265625E-2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283.9732666015625</v>
      </c>
      <c r="D465">
        <v>-0.1822509765625</v>
      </c>
      <c r="E465">
        <v>-0.239654541015625</v>
      </c>
      <c r="F465">
        <v>0</v>
      </c>
      <c r="G465">
        <f>Sayfa1!F465*1000</f>
        <v>0</v>
      </c>
    </row>
    <row r="466" spans="2:7" x14ac:dyDescent="0.3">
      <c r="B466" s="1">
        <v>0.33333333333333331</v>
      </c>
      <c r="C466">
        <v>283.840087890625</v>
      </c>
      <c r="D466">
        <v>-0.5967254638671875</v>
      </c>
      <c r="E466">
        <v>-0.420684814453125</v>
      </c>
      <c r="F466">
        <v>0</v>
      </c>
      <c r="G466">
        <f>Sayfa1!F466*1000</f>
        <v>0</v>
      </c>
    </row>
    <row r="467" spans="2:7" x14ac:dyDescent="0.3">
      <c r="B467" s="1">
        <v>0.375</v>
      </c>
      <c r="C467">
        <v>283.7728271484375</v>
      </c>
      <c r="D467">
        <v>-0.7430419921875</v>
      </c>
      <c r="E467">
        <v>-0.802459716796875</v>
      </c>
      <c r="F467">
        <v>0</v>
      </c>
      <c r="G467">
        <f>Sayfa1!F467*1000</f>
        <v>0</v>
      </c>
    </row>
    <row r="468" spans="2:7" x14ac:dyDescent="0.3">
      <c r="B468" s="1">
        <v>0.41666666666666669</v>
      </c>
      <c r="C468">
        <v>283.57794189453125</v>
      </c>
      <c r="D468">
        <v>-0.96624755859375</v>
      </c>
      <c r="E468">
        <v>-1.386688232421875</v>
      </c>
      <c r="F468">
        <v>0</v>
      </c>
      <c r="G468">
        <f>Sayfa1!F468*1000</f>
        <v>0</v>
      </c>
    </row>
    <row r="469" spans="2:7" x14ac:dyDescent="0.3">
      <c r="B469" s="1">
        <v>0.45833333333333331</v>
      </c>
      <c r="C469">
        <v>284.22821044921875</v>
      </c>
      <c r="D469">
        <v>-0.7306365966796875</v>
      </c>
      <c r="E469">
        <v>-1.3872222900390625</v>
      </c>
      <c r="F469">
        <v>0</v>
      </c>
      <c r="G469">
        <f>Sayfa1!F469*1000</f>
        <v>0</v>
      </c>
    </row>
    <row r="470" spans="2:7" x14ac:dyDescent="0.3">
      <c r="B470" s="1">
        <v>0.5</v>
      </c>
      <c r="C470">
        <v>284.66400146484375</v>
      </c>
      <c r="D470">
        <v>-0.6068878173828125</v>
      </c>
      <c r="E470">
        <v>-1.5124359130859375</v>
      </c>
      <c r="F470">
        <v>0</v>
      </c>
      <c r="G470">
        <f>Sayfa1!F470*1000</f>
        <v>0</v>
      </c>
    </row>
    <row r="471" spans="2:7" x14ac:dyDescent="0.3">
      <c r="B471" s="1">
        <v>0.54166666666666663</v>
      </c>
      <c r="C471">
        <v>284.8887939453125</v>
      </c>
      <c r="D471">
        <v>-0.456756591796875</v>
      </c>
      <c r="E471">
        <v>-1.7421417236328125</v>
      </c>
      <c r="F471">
        <v>0</v>
      </c>
      <c r="G471">
        <f>Sayfa1!F471*1000</f>
        <v>0</v>
      </c>
    </row>
    <row r="472" spans="2:7" x14ac:dyDescent="0.3">
      <c r="B472" s="1">
        <v>0.58333333333333337</v>
      </c>
      <c r="C472">
        <v>285.1153564453125</v>
      </c>
      <c r="D472">
        <v>-0.496368408203125</v>
      </c>
      <c r="E472">
        <v>-1.9567413330078125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285.5933837890625</v>
      </c>
      <c r="D473">
        <v>-0.4939117431640625</v>
      </c>
      <c r="E473">
        <v>-2.1026458740234375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286.31787109375</v>
      </c>
      <c r="D474">
        <v>-0.4513702392578125</v>
      </c>
      <c r="E474">
        <v>-2.1323394775390625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286.6619873046875</v>
      </c>
      <c r="D475">
        <v>-0.4892425537109375</v>
      </c>
      <c r="E475">
        <v>-2.0907440185546875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287.7586669921875</v>
      </c>
      <c r="D476">
        <v>-2.16436767578125</v>
      </c>
      <c r="E476">
        <v>-2.7758636474609375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289.65484619140625</v>
      </c>
      <c r="D477">
        <v>-4.020294189453125</v>
      </c>
      <c r="E477">
        <v>-3.8049774169921875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290.44879150390625</v>
      </c>
      <c r="D478">
        <v>-4.8966064453125</v>
      </c>
      <c r="E478">
        <v>-3.903045654296875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290.56341552734375</v>
      </c>
      <c r="D479">
        <v>-5.012847900390625</v>
      </c>
      <c r="E479">
        <v>-3.634307861328125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290.49139404296875</v>
      </c>
      <c r="D480">
        <v>-4.4232025146484375</v>
      </c>
      <c r="E480">
        <v>-3.215057373046875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290.63641357421875</v>
      </c>
      <c r="D481">
        <v>-4.027191162109375</v>
      </c>
      <c r="E481">
        <v>-2.95928955078125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290.51812744140625</v>
      </c>
      <c r="D482">
        <v>-3.08587646484375</v>
      </c>
      <c r="E482">
        <v>-2.7511749267578125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290.01702880859375</v>
      </c>
      <c r="D483">
        <v>-2.113250732421875</v>
      </c>
      <c r="E483">
        <v>-2.7736663818359375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289.3077392578125</v>
      </c>
      <c r="D484">
        <v>-1.33111572265625</v>
      </c>
      <c r="E484">
        <v>-2.9805145263671875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288.51904296875</v>
      </c>
      <c r="D485">
        <v>-0.942474365234375</v>
      </c>
      <c r="E485">
        <v>-2.9160308837890625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287.8226318359375</v>
      </c>
      <c r="D486">
        <v>-0.64544677734375</v>
      </c>
      <c r="E486">
        <v>-3.0197296142578125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287.2305908203125</v>
      </c>
      <c r="D487">
        <v>-0.5792999267578125</v>
      </c>
      <c r="E487">
        <v>-3.15631103515625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286.4254150390625</v>
      </c>
      <c r="D488">
        <v>-0.6808624267578125</v>
      </c>
      <c r="E488">
        <v>-3.218780517578125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285.2177734375</v>
      </c>
      <c r="D489">
        <v>-0.8438720703125</v>
      </c>
      <c r="E489">
        <v>-3.1882171630859375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284.4915771484375</v>
      </c>
      <c r="D490">
        <v>-1.3504791259765625</v>
      </c>
      <c r="E490">
        <v>-3.2915802001953125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284.106689453125</v>
      </c>
      <c r="D491">
        <v>-1.7468414306640625</v>
      </c>
      <c r="E491">
        <v>-3.3131866455078125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283.6219482421875</v>
      </c>
      <c r="D492">
        <v>-1.605072021484375</v>
      </c>
      <c r="E492">
        <v>-3.099365234375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283.27655029296875</v>
      </c>
      <c r="D493">
        <v>-0.931671142578125</v>
      </c>
      <c r="E493">
        <v>-3.1658782958984375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283.014892578125</v>
      </c>
      <c r="D494">
        <v>-0.6555938720703125</v>
      </c>
      <c r="E494">
        <v>-3.122222900390625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282.6854248046875</v>
      </c>
      <c r="D495">
        <v>-0.7071075439453125</v>
      </c>
      <c r="E495">
        <v>-3.0446929931640625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282.4830322265625</v>
      </c>
      <c r="D496">
        <v>-0.7269134521484375</v>
      </c>
      <c r="E496">
        <v>-3.0149078369140625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282.588623046875</v>
      </c>
      <c r="D497">
        <v>-0.8006591796875</v>
      </c>
      <c r="E497">
        <v>-3.0838165283203125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283.2911376953125</v>
      </c>
      <c r="D498">
        <v>-0.9145355224609375</v>
      </c>
      <c r="E498">
        <v>-2.97088623046875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285.1451416015625</v>
      </c>
      <c r="D499">
        <v>-0.949249267578125</v>
      </c>
      <c r="E499">
        <v>-2.737548828125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287.4986572265625</v>
      </c>
      <c r="D500">
        <v>-1.207061767578125</v>
      </c>
      <c r="E500">
        <v>-3.491973876953125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289.33135986328125</v>
      </c>
      <c r="D501">
        <v>-1.880828857421875</v>
      </c>
      <c r="E501">
        <v>-4.3001708984375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290.50506591796875</v>
      </c>
      <c r="D502">
        <v>-2.231781005859375</v>
      </c>
      <c r="E502">
        <v>-4.232086181640625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291.44580078125</v>
      </c>
      <c r="D503">
        <v>-2.028167724609375</v>
      </c>
      <c r="E503">
        <v>-3.928253173828125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291.42822265625</v>
      </c>
      <c r="D504">
        <v>-1.5615386962890625</v>
      </c>
      <c r="E504">
        <v>-3.7746124267578125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292.01416015625</v>
      </c>
      <c r="D505">
        <v>-1.494873046875</v>
      </c>
      <c r="E505">
        <v>-3.4209747314453125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292.017578125</v>
      </c>
      <c r="D506">
        <v>-0.822052001953125</v>
      </c>
      <c r="E506">
        <v>-2.7345428466796875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291.4869384765625</v>
      </c>
      <c r="D507">
        <v>-6.31256103515625E-2</v>
      </c>
      <c r="E507">
        <v>-2.2256011962890625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290.9383544921875</v>
      </c>
      <c r="D508">
        <v>-4.2236328125E-2</v>
      </c>
      <c r="E508">
        <v>-2.1292572021484375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290.6121826171875</v>
      </c>
      <c r="D509">
        <v>-0.242462158203125</v>
      </c>
      <c r="E509">
        <v>-2.212554931640625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290.41796875</v>
      </c>
      <c r="D510">
        <v>-0.2877197265625</v>
      </c>
      <c r="E510">
        <v>-2.2718048095703125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290.2537841796875</v>
      </c>
      <c r="D511">
        <v>-0.336822509765625</v>
      </c>
      <c r="E511">
        <v>-2.3939056396484375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290.1473388671875</v>
      </c>
      <c r="D512">
        <v>-0.4867401123046875</v>
      </c>
      <c r="E512">
        <v>-2.525726318359375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290.104248046875</v>
      </c>
      <c r="D513">
        <v>-0.5728607177734375</v>
      </c>
      <c r="E513">
        <v>-2.6055755615234375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290.11468505859375</v>
      </c>
      <c r="D514">
        <v>-0.6940765380859375</v>
      </c>
      <c r="E514">
        <v>-2.656494140625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290.17376708984375</v>
      </c>
      <c r="D515">
        <v>-0.781585693359375</v>
      </c>
      <c r="E515">
        <v>-2.6943817138671875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290.112548828125</v>
      </c>
      <c r="D516">
        <v>-0.6608734130859375</v>
      </c>
      <c r="E516">
        <v>-3.0536041259765625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290.384521484375</v>
      </c>
      <c r="D517">
        <v>-0.6823883056640625</v>
      </c>
      <c r="E517">
        <v>-2.9409027099609375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290.6798095703125</v>
      </c>
      <c r="D518">
        <v>-0.8780059814453125</v>
      </c>
      <c r="E518">
        <v>-2.8223876953125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290.8243408203125</v>
      </c>
      <c r="D519">
        <v>-0.952545166015625</v>
      </c>
      <c r="E519">
        <v>-2.8283233642578125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290.8612060546875</v>
      </c>
      <c r="D520">
        <v>-0.77935791015625</v>
      </c>
      <c r="E520">
        <v>-2.8336639404296875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290.8876953125</v>
      </c>
      <c r="D521">
        <v>-0.70989990234375</v>
      </c>
      <c r="E521">
        <v>-2.921142578125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291.06793212890625</v>
      </c>
      <c r="D522">
        <v>-0.698089599609375</v>
      </c>
      <c r="E522">
        <v>-2.8047332763671875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291.4560546875</v>
      </c>
      <c r="D523">
        <v>-0.75946044921875</v>
      </c>
      <c r="E523">
        <v>-2.491668701171875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291.76434326171875</v>
      </c>
      <c r="D524">
        <v>-0.931396484375</v>
      </c>
      <c r="E524">
        <v>-2.4253082275390625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293.467529296875</v>
      </c>
      <c r="D525">
        <v>-1.11846923828125</v>
      </c>
      <c r="E525">
        <v>-2.6042633056640625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294.88641357421875</v>
      </c>
      <c r="D526">
        <v>-1.839111328125</v>
      </c>
      <c r="E526">
        <v>-3.698760986328125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295.7828369140625</v>
      </c>
      <c r="D527">
        <v>-2.322113037109375</v>
      </c>
      <c r="E527">
        <v>-3.902313232421875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296.7694091796875</v>
      </c>
      <c r="D528">
        <v>-1.894744873046875</v>
      </c>
      <c r="E528">
        <v>-3.240386962890625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297.032470703125</v>
      </c>
      <c r="D529">
        <v>-1.922210693359375</v>
      </c>
      <c r="E529">
        <v>-2.882049560546875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296.843505859375</v>
      </c>
      <c r="D530">
        <v>-1.639617919921875</v>
      </c>
      <c r="E530">
        <v>-2.7391510009765625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296.3779296875</v>
      </c>
      <c r="D531">
        <v>-0.8145294189453125</v>
      </c>
      <c r="E531">
        <v>-2.684295654296875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295.8509521484375</v>
      </c>
      <c r="D532">
        <v>-0.5289154052734375</v>
      </c>
      <c r="E532">
        <v>-2.7414398193359375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295.4185791015625</v>
      </c>
      <c r="D533">
        <v>-0.5325164794921875</v>
      </c>
      <c r="E533">
        <v>-2.781829833984375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295.16827392578125</v>
      </c>
      <c r="D534">
        <v>-0.5320892333984375</v>
      </c>
      <c r="E534">
        <v>-2.820465087890625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295.06402587890625</v>
      </c>
      <c r="D535">
        <v>-0.583892822265625</v>
      </c>
      <c r="E535">
        <v>-2.80792236328125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295.0296630859375</v>
      </c>
      <c r="D536">
        <v>-0.6524658203125</v>
      </c>
      <c r="E536">
        <v>-2.825286865234375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294.98919677734375</v>
      </c>
      <c r="D537">
        <v>-0.747283935546875</v>
      </c>
      <c r="E537">
        <v>-2.8768157958984375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294.78179931640625</v>
      </c>
      <c r="D538">
        <v>-0.8162841796875</v>
      </c>
      <c r="E538">
        <v>-3.007904052734375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294.318115234375</v>
      </c>
      <c r="D539">
        <v>-0.84259033203125</v>
      </c>
      <c r="E539">
        <v>-3.1246490478515625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293.91168212890625</v>
      </c>
      <c r="D540">
        <v>-0.5955047607421875</v>
      </c>
      <c r="E540">
        <v>-2.8694915771484375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293.60906982421875</v>
      </c>
      <c r="D541">
        <v>-0.3611602783203125</v>
      </c>
      <c r="E541">
        <v>-2.9271087646484375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293.3182373046875</v>
      </c>
      <c r="D542">
        <v>-0.3505859375</v>
      </c>
      <c r="E542">
        <v>-3.0748748779296875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293.342529296875</v>
      </c>
      <c r="D543">
        <v>-0.4924774169921875</v>
      </c>
      <c r="E543">
        <v>-3.034515380859375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293.4439697265625</v>
      </c>
      <c r="D544">
        <v>-0.5683135986328125</v>
      </c>
      <c r="E544">
        <v>-3.0334014892578125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293.2216796875</v>
      </c>
      <c r="D545">
        <v>-0.7510833740234375</v>
      </c>
      <c r="E545">
        <v>-3.1778564453125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292.5245361328125</v>
      </c>
      <c r="D546">
        <v>-0.7178955078125</v>
      </c>
      <c r="E546">
        <v>-3.070526123046875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291.9210205078125</v>
      </c>
      <c r="D547">
        <v>-0.877716064453125</v>
      </c>
      <c r="E547">
        <v>-2.7783355712890625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292.48907470703125</v>
      </c>
      <c r="D548">
        <v>-1.8806304931640625</v>
      </c>
      <c r="E548">
        <v>-3.8567352294921875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293.49609375</v>
      </c>
      <c r="D549">
        <v>-3.191650390625</v>
      </c>
      <c r="E549">
        <v>-4.6894073486328125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294.044677734375</v>
      </c>
      <c r="D550">
        <v>-3.6594696044921875</v>
      </c>
      <c r="E550">
        <v>-4.8515472412109375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294.472900390625</v>
      </c>
      <c r="D551">
        <v>-3.5320587158203125</v>
      </c>
      <c r="E551">
        <v>-4.92523193359375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295.302978515625</v>
      </c>
      <c r="D552">
        <v>-2.3566741943359375</v>
      </c>
      <c r="E552">
        <v>-4.1329803466796875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295.406494140625</v>
      </c>
      <c r="D553">
        <v>-2.606292724609375</v>
      </c>
      <c r="E553">
        <v>-3.6008148193359375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295.090576171875</v>
      </c>
      <c r="D554">
        <v>-2.0382843017578125</v>
      </c>
      <c r="E554">
        <v>-3.0785369873046875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294.058837890625</v>
      </c>
      <c r="D555">
        <v>-1.543243408203125</v>
      </c>
      <c r="E555">
        <v>-3.33441162109375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292.7623291015625</v>
      </c>
      <c r="D556">
        <v>-1.1934814453125</v>
      </c>
      <c r="E556">
        <v>-3.3941802978515625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291.988037109375</v>
      </c>
      <c r="D557">
        <v>-1.05792236328125</v>
      </c>
      <c r="E557">
        <v>-3.1329498291015625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291.6455078125</v>
      </c>
      <c r="D558">
        <v>-0.8267364501953125</v>
      </c>
      <c r="E558">
        <v>-2.862060546875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291.4056396484375</v>
      </c>
      <c r="D559">
        <v>-0.7197113037109375</v>
      </c>
      <c r="E559">
        <v>-2.82806396484375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291.29052734375</v>
      </c>
      <c r="D560">
        <v>-0.677276611328125</v>
      </c>
      <c r="E560">
        <v>-2.7830810546875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291.180908203125</v>
      </c>
      <c r="D561">
        <v>-0.7625885009765625</v>
      </c>
      <c r="E561">
        <v>-2.7240447998046875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290.9970703125</v>
      </c>
      <c r="D562">
        <v>-0.7917633056640625</v>
      </c>
      <c r="E562">
        <v>-2.739044189453125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290.830078125</v>
      </c>
      <c r="D563">
        <v>-0.74420166015625</v>
      </c>
      <c r="E563">
        <v>-2.70281982421875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289.273193359375</v>
      </c>
      <c r="D564">
        <v>-0.65478515625</v>
      </c>
      <c r="E564">
        <v>-2.8490447998046875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289.24462890625</v>
      </c>
      <c r="D565">
        <v>-0.815704345703125</v>
      </c>
      <c r="E565">
        <v>-2.756134033203125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289.1126708984375</v>
      </c>
      <c r="D566">
        <v>-1.0070953369140625</v>
      </c>
      <c r="E566">
        <v>-2.7060394287109375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289.0205078125</v>
      </c>
      <c r="D567">
        <v>-0.9920196533203125</v>
      </c>
      <c r="E567">
        <v>-2.697265625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288.9998779296875</v>
      </c>
      <c r="D568">
        <v>-0.9286041259765625</v>
      </c>
      <c r="E568">
        <v>-2.6524200439453125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289.05810546875</v>
      </c>
      <c r="D569">
        <v>-0.845733642578125</v>
      </c>
      <c r="E569">
        <v>-2.6029052734375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289.1202392578125</v>
      </c>
      <c r="D570">
        <v>-0.775909423828125</v>
      </c>
      <c r="E570">
        <v>-2.273345947265625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289.282958984375</v>
      </c>
      <c r="D571">
        <v>-0.7816314697265625</v>
      </c>
      <c r="E571">
        <v>-1.7939910888671875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289.78271484375</v>
      </c>
      <c r="D572">
        <v>-0.937652587890625</v>
      </c>
      <c r="E572">
        <v>-1.379791259765625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292.0482177734375</v>
      </c>
      <c r="D573">
        <v>-0.9391937255859375</v>
      </c>
      <c r="E573">
        <v>-0.8008880615234375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293.405517578125</v>
      </c>
      <c r="D574">
        <v>-0.6199951171875</v>
      </c>
      <c r="E574">
        <v>-8.544921875E-3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294.17218017578125</v>
      </c>
      <c r="D575">
        <v>0.1407470703125</v>
      </c>
      <c r="E575">
        <v>0.63604736328125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293.7701416015625</v>
      </c>
      <c r="D576">
        <v>0.3739776611328125</v>
      </c>
      <c r="E576">
        <v>0.80059814453125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293.606201171875</v>
      </c>
      <c r="D577">
        <v>0.8423614501953125</v>
      </c>
      <c r="E577">
        <v>1.3422088623046875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292.704345703125</v>
      </c>
      <c r="D578">
        <v>1.27947998046875</v>
      </c>
      <c r="E578">
        <v>1.59710693359375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291.424072265625</v>
      </c>
      <c r="D579">
        <v>1.2673492431640625</v>
      </c>
      <c r="E579">
        <v>1.1561126708984375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290.812744140625</v>
      </c>
      <c r="D580">
        <v>1.15582275390625</v>
      </c>
      <c r="E580">
        <v>0.4496612548828125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290.7525634765625</v>
      </c>
      <c r="D581">
        <v>0.640380859375</v>
      </c>
      <c r="E581">
        <v>-0.20733642578125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290.593505859375</v>
      </c>
      <c r="D582">
        <v>7.00225830078125E-2</v>
      </c>
      <c r="E582">
        <v>-0.3377838134765625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289.9456787109375</v>
      </c>
      <c r="D583">
        <v>5.9844970703125E-2</v>
      </c>
      <c r="E583">
        <v>3.69720458984375E-2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289.04345703125</v>
      </c>
      <c r="D584">
        <v>-3.3233642578125E-2</v>
      </c>
      <c r="E584">
        <v>0.4015960693359375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288.23876953125</v>
      </c>
      <c r="D585">
        <v>-0.2505950927734375</v>
      </c>
      <c r="E585">
        <v>0.5070648193359375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287.5350341796875</v>
      </c>
      <c r="D586">
        <v>-0.6354522705078125</v>
      </c>
      <c r="E586">
        <v>0.3048858642578125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286.95458984375</v>
      </c>
      <c r="D587">
        <v>-1.057891845703125</v>
      </c>
      <c r="E587">
        <v>0.10845947265625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286.7869873046875</v>
      </c>
      <c r="D588">
        <v>-0.98992919921875</v>
      </c>
      <c r="E588">
        <v>-1.9378662109375E-3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286.0863037109375</v>
      </c>
      <c r="D589">
        <v>-0.9399871826171875</v>
      </c>
      <c r="E589">
        <v>-0.290985107421875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285.66192626953125</v>
      </c>
      <c r="D590">
        <v>-0.724761962890625</v>
      </c>
      <c r="E590">
        <v>-0.44805908203125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285.358642578125</v>
      </c>
      <c r="D591">
        <v>-0.431976318359375</v>
      </c>
      <c r="E591">
        <v>-0.3739013671875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285.12701416015625</v>
      </c>
      <c r="D592">
        <v>-0.348480224609375</v>
      </c>
      <c r="E592">
        <v>-0.47186279296875</v>
      </c>
      <c r="F592">
        <v>0</v>
      </c>
      <c r="G592">
        <f>Sayfa1!F592*1000</f>
        <v>0</v>
      </c>
    </row>
    <row r="593" spans="2:7" x14ac:dyDescent="0.3">
      <c r="B593" s="1">
        <v>0.625</v>
      </c>
      <c r="C593">
        <v>284.879150390625</v>
      </c>
      <c r="D593">
        <v>-0.558013916015625</v>
      </c>
      <c r="E593">
        <v>-0.5138092041015625</v>
      </c>
      <c r="F593">
        <v>0</v>
      </c>
      <c r="G593">
        <f>Sayfa1!F593*1000</f>
        <v>0</v>
      </c>
    </row>
    <row r="594" spans="2:7" x14ac:dyDescent="0.3">
      <c r="B594" s="1">
        <v>0.66666666666666663</v>
      </c>
      <c r="C594">
        <v>284.62640380859375</v>
      </c>
      <c r="D594">
        <v>-0.3979034423828125</v>
      </c>
      <c r="E594">
        <v>-0.5762939453125</v>
      </c>
      <c r="F594">
        <v>0</v>
      </c>
      <c r="G594">
        <f>Sayfa1!F594*1000</f>
        <v>0</v>
      </c>
    </row>
    <row r="595" spans="2:7" x14ac:dyDescent="0.3">
      <c r="B595" s="1">
        <v>0.70833333333333337</v>
      </c>
      <c r="C595">
        <v>284.55328369140625</v>
      </c>
      <c r="D595">
        <v>-0.7236785888671875</v>
      </c>
      <c r="E595">
        <v>0.14111328125</v>
      </c>
      <c r="F595">
        <v>0</v>
      </c>
      <c r="G595">
        <f>Sayfa1!F595*1000</f>
        <v>0</v>
      </c>
    </row>
    <row r="596" spans="2:7" x14ac:dyDescent="0.3">
      <c r="B596" s="1">
        <v>0.75</v>
      </c>
      <c r="C596">
        <v>285.07366943359375</v>
      </c>
      <c r="D596">
        <v>-1.483642578125</v>
      </c>
      <c r="E596">
        <v>1.6961669921875</v>
      </c>
      <c r="F596">
        <v>9.5367431640625E-7</v>
      </c>
      <c r="G596">
        <f>Sayfa1!F596*1000</f>
        <v>9.5367431640625E-4</v>
      </c>
    </row>
    <row r="597" spans="2:7" x14ac:dyDescent="0.3">
      <c r="B597" s="1">
        <v>0.79166666666666663</v>
      </c>
      <c r="C597">
        <v>285.70513916015625</v>
      </c>
      <c r="D597">
        <v>-1.3816070556640625</v>
      </c>
      <c r="E597">
        <v>2.624176025390625</v>
      </c>
      <c r="F597">
        <v>0</v>
      </c>
      <c r="G597">
        <f>Sayfa1!F597*1000</f>
        <v>0</v>
      </c>
    </row>
    <row r="598" spans="2:7" x14ac:dyDescent="0.3">
      <c r="B598" s="1">
        <v>0.83333333333333337</v>
      </c>
      <c r="C598">
        <v>286.28997802734375</v>
      </c>
      <c r="D598">
        <v>-1.167022705078125</v>
      </c>
      <c r="E598">
        <v>3.2323455810546875</v>
      </c>
      <c r="F598">
        <v>0</v>
      </c>
      <c r="G598">
        <f>Sayfa1!F598*1000</f>
        <v>0</v>
      </c>
    </row>
    <row r="599" spans="2:7" x14ac:dyDescent="0.3">
      <c r="B599" s="1">
        <v>0.875</v>
      </c>
      <c r="C599">
        <v>286.5838623046875</v>
      </c>
      <c r="D599">
        <v>-0.83148193359375</v>
      </c>
      <c r="E599">
        <v>3.72357177734375</v>
      </c>
      <c r="F599">
        <v>0</v>
      </c>
      <c r="G599">
        <f>Sayfa1!F599*1000</f>
        <v>0</v>
      </c>
    </row>
    <row r="600" spans="2:7" x14ac:dyDescent="0.3">
      <c r="B600" s="1">
        <v>0.91666666666666663</v>
      </c>
      <c r="C600">
        <v>286.37908935546875</v>
      </c>
      <c r="D600">
        <v>-0.2740936279296875</v>
      </c>
      <c r="E600">
        <v>3.61529541015625</v>
      </c>
      <c r="F600">
        <v>0</v>
      </c>
      <c r="G600">
        <f>Sayfa1!F600*1000</f>
        <v>0</v>
      </c>
    </row>
    <row r="601" spans="2:7" x14ac:dyDescent="0.3">
      <c r="B601" s="1">
        <v>0.95833333333333337</v>
      </c>
      <c r="C601">
        <v>286.1256103515625</v>
      </c>
      <c r="D601">
        <v>0.3524322509765625</v>
      </c>
      <c r="E601">
        <v>3.823211669921875</v>
      </c>
      <c r="F601">
        <v>1.5735626220703125E-5</v>
      </c>
      <c r="G601">
        <f>Sayfa1!F601*1000</f>
        <v>1.5735626220703125E-2</v>
      </c>
    </row>
    <row r="602" spans="2:7" x14ac:dyDescent="0.3">
      <c r="B602" s="1">
        <v>0</v>
      </c>
      <c r="C602">
        <v>285.50662231445313</v>
      </c>
      <c r="D602">
        <v>0.697418212890625</v>
      </c>
      <c r="E602">
        <v>3.6648406982421875</v>
      </c>
      <c r="F602">
        <v>2.0503997802734375E-5</v>
      </c>
      <c r="G602">
        <f>Sayfa1!F602*1000</f>
        <v>2.0503997802734375E-2</v>
      </c>
    </row>
    <row r="603" spans="2:7" x14ac:dyDescent="0.3">
      <c r="B603" s="1">
        <v>4.1666666666666664E-2</v>
      </c>
      <c r="C603">
        <v>284.75</v>
      </c>
      <c r="D603">
        <v>0.4679718017578125</v>
      </c>
      <c r="E603">
        <v>2.60919189453125</v>
      </c>
      <c r="F603">
        <v>8.5353851318359375E-5</v>
      </c>
      <c r="G603">
        <f>Sayfa1!F603*1000</f>
        <v>8.5353851318359375E-2</v>
      </c>
    </row>
    <row r="604" spans="2:7" x14ac:dyDescent="0.3">
      <c r="B604" s="1">
        <v>8.3333333333333329E-2</v>
      </c>
      <c r="C604">
        <v>284.034912109375</v>
      </c>
      <c r="D604">
        <v>5.06744384765625E-2</v>
      </c>
      <c r="E604">
        <v>1.891326904296875</v>
      </c>
      <c r="F604">
        <v>5.817413330078125E-5</v>
      </c>
      <c r="G604">
        <f>Sayfa1!F604*1000</f>
        <v>5.817413330078125E-2</v>
      </c>
    </row>
    <row r="605" spans="2:7" x14ac:dyDescent="0.3">
      <c r="B605" s="1">
        <v>0.125</v>
      </c>
      <c r="C605">
        <v>283.4453125</v>
      </c>
      <c r="D605">
        <v>4.68597412109375E-2</v>
      </c>
      <c r="E605">
        <v>1.7576751708984375</v>
      </c>
      <c r="F605">
        <v>2.765655517578125E-4</v>
      </c>
      <c r="G605">
        <f>Sayfa1!F605*1000</f>
        <v>0.2765655517578125</v>
      </c>
    </row>
    <row r="606" spans="2:7" x14ac:dyDescent="0.3">
      <c r="B606" s="1">
        <v>0.16666666666666666</v>
      </c>
      <c r="C606">
        <v>283.36810302734375</v>
      </c>
      <c r="D606">
        <v>0.2503662109375</v>
      </c>
      <c r="E606">
        <v>1.580352783203125</v>
      </c>
      <c r="F606">
        <v>4.4345855712890625E-4</v>
      </c>
      <c r="G606">
        <f>Sayfa1!F606*1000</f>
        <v>0.44345855712890625</v>
      </c>
    </row>
    <row r="607" spans="2:7" x14ac:dyDescent="0.3">
      <c r="B607" s="1">
        <v>0.20833333333333334</v>
      </c>
      <c r="C607">
        <v>283.20144653320313</v>
      </c>
      <c r="D607">
        <v>0.408203125</v>
      </c>
      <c r="E607">
        <v>1.2689361572265625</v>
      </c>
      <c r="F607">
        <v>2.6845932006835938E-4</v>
      </c>
      <c r="G607">
        <f>Sayfa1!F607*1000</f>
        <v>0.26845932006835938</v>
      </c>
    </row>
    <row r="608" spans="2:7" x14ac:dyDescent="0.3">
      <c r="B608" s="1">
        <v>0.25</v>
      </c>
      <c r="C608">
        <v>282.893310546875</v>
      </c>
      <c r="D608">
        <v>0.86346435546875</v>
      </c>
      <c r="E608">
        <v>1.167877197265625</v>
      </c>
      <c r="F608">
        <v>2.1839141845703125E-4</v>
      </c>
      <c r="G608">
        <f>Sayfa1!F608*1000</f>
        <v>0.21839141845703125</v>
      </c>
    </row>
    <row r="609" spans="2:7" x14ac:dyDescent="0.3">
      <c r="B609" s="1">
        <v>0.29166666666666669</v>
      </c>
      <c r="C609">
        <v>282.4970703125</v>
      </c>
      <c r="D609">
        <v>0.9844970703125</v>
      </c>
      <c r="E609">
        <v>0.9197998046875</v>
      </c>
      <c r="F609">
        <v>2.6226043701171875E-4</v>
      </c>
      <c r="G609">
        <f>Sayfa1!F609*1000</f>
        <v>0.26226043701171875</v>
      </c>
    </row>
    <row r="610" spans="2:7" x14ac:dyDescent="0.3">
      <c r="B610" s="1">
        <v>0.33333333333333331</v>
      </c>
      <c r="C610">
        <v>282.2369384765625</v>
      </c>
      <c r="D610">
        <v>0.7492828369140625</v>
      </c>
      <c r="E610">
        <v>0.565521240234375</v>
      </c>
      <c r="F610">
        <v>3.4809112548828125E-4</v>
      </c>
      <c r="G610">
        <f>Sayfa1!F610*1000</f>
        <v>0.34809112548828125</v>
      </c>
    </row>
    <row r="611" spans="2:7" x14ac:dyDescent="0.3">
      <c r="B611" s="1">
        <v>0.375</v>
      </c>
      <c r="C611">
        <v>282.2198486328125</v>
      </c>
      <c r="D611">
        <v>0.492340087890625</v>
      </c>
      <c r="E611">
        <v>0.1614837646484375</v>
      </c>
      <c r="F611">
        <v>3.54766845703125E-4</v>
      </c>
      <c r="G611">
        <f>Sayfa1!F611*1000</f>
        <v>0.354766845703125</v>
      </c>
    </row>
    <row r="612" spans="2:7" x14ac:dyDescent="0.3">
      <c r="B612" s="1">
        <v>0.41666666666666669</v>
      </c>
      <c r="C612">
        <v>283.4141845703125</v>
      </c>
      <c r="D612">
        <v>-0.4656524658203125</v>
      </c>
      <c r="E612">
        <v>-1.61285400390625E-2</v>
      </c>
      <c r="F612">
        <v>2.5653839111328125E-4</v>
      </c>
      <c r="G612">
        <f>Sayfa1!F612*1000</f>
        <v>0.25653839111328125</v>
      </c>
    </row>
    <row r="613" spans="2:7" x14ac:dyDescent="0.3">
      <c r="B613" s="1">
        <v>0.45833333333333331</v>
      </c>
      <c r="C613">
        <v>283.22979736328125</v>
      </c>
      <c r="D613">
        <v>-0.958282470703125</v>
      </c>
      <c r="E613">
        <v>-0.3249053955078125</v>
      </c>
      <c r="F613">
        <v>1.4257431030273438E-4</v>
      </c>
      <c r="G613">
        <f>Sayfa1!F613*1000</f>
        <v>0.14257431030273438</v>
      </c>
    </row>
    <row r="614" spans="2:7" x14ac:dyDescent="0.3">
      <c r="B614" s="1">
        <v>0.5</v>
      </c>
      <c r="C614">
        <v>282.90081787109375</v>
      </c>
      <c r="D614">
        <v>-1.4659423828125</v>
      </c>
      <c r="E614">
        <v>-0.5018157958984375</v>
      </c>
      <c r="F614">
        <v>2.384185791015625E-4</v>
      </c>
      <c r="G614">
        <f>Sayfa1!F614*1000</f>
        <v>0.2384185791015625</v>
      </c>
    </row>
    <row r="615" spans="2:7" x14ac:dyDescent="0.3">
      <c r="B615" s="1">
        <v>0.54166666666666663</v>
      </c>
      <c r="C615">
        <v>282.474609375</v>
      </c>
      <c r="D615">
        <v>-1.55096435546875</v>
      </c>
      <c r="E615">
        <v>-0.5596160888671875</v>
      </c>
      <c r="F615">
        <v>3.814697265625E-4</v>
      </c>
      <c r="G615">
        <f>Sayfa1!F615*1000</f>
        <v>0.3814697265625</v>
      </c>
    </row>
    <row r="616" spans="2:7" x14ac:dyDescent="0.3">
      <c r="B616" s="1">
        <v>0.58333333333333337</v>
      </c>
      <c r="C616">
        <v>282.03985595703125</v>
      </c>
      <c r="D616">
        <v>-1.377471923828125</v>
      </c>
      <c r="E616">
        <v>-0.687652587890625</v>
      </c>
      <c r="F616">
        <v>5.60760498046875E-4</v>
      </c>
      <c r="G616">
        <f>Sayfa1!F616*1000</f>
        <v>0.560760498046875</v>
      </c>
    </row>
    <row r="617" spans="2:7" x14ac:dyDescent="0.3">
      <c r="B617" s="1">
        <v>0.625</v>
      </c>
      <c r="C617">
        <v>281.42694091796875</v>
      </c>
      <c r="D617">
        <v>-1.217559814453125</v>
      </c>
      <c r="E617">
        <v>-0.6646881103515625</v>
      </c>
      <c r="F617">
        <v>8.3446502685546875E-4</v>
      </c>
      <c r="G617">
        <f>Sayfa1!F617*1000</f>
        <v>0.83446502685546875</v>
      </c>
    </row>
    <row r="618" spans="2:7" x14ac:dyDescent="0.3">
      <c r="B618" s="1">
        <v>0.66666666666666663</v>
      </c>
      <c r="C618">
        <v>281.335693359375</v>
      </c>
      <c r="D618">
        <v>-1.5109100341796875</v>
      </c>
      <c r="E618">
        <v>-7.171630859375E-4</v>
      </c>
      <c r="F618">
        <v>1.2631416320800781E-3</v>
      </c>
      <c r="G618">
        <f>Sayfa1!F618*1000</f>
        <v>1.2631416320800781</v>
      </c>
    </row>
    <row r="619" spans="2:7" x14ac:dyDescent="0.3">
      <c r="B619" s="1">
        <v>0.70833333333333337</v>
      </c>
      <c r="C619">
        <v>281.88287353515625</v>
      </c>
      <c r="D619">
        <v>-1.65386962890625</v>
      </c>
      <c r="E619">
        <v>0.62933349609375</v>
      </c>
      <c r="F619">
        <v>4.6014785766601563E-4</v>
      </c>
      <c r="G619">
        <f>Sayfa1!F619*1000</f>
        <v>0.46014785766601563</v>
      </c>
    </row>
    <row r="620" spans="2:7" x14ac:dyDescent="0.3">
      <c r="B620" s="1">
        <v>0.75</v>
      </c>
      <c r="C620">
        <v>282.38198852539063</v>
      </c>
      <c r="D620">
        <v>-1.4860382080078125</v>
      </c>
      <c r="E620">
        <v>1.093353271484375</v>
      </c>
      <c r="F620">
        <v>6.2608718872070313E-4</v>
      </c>
      <c r="G620">
        <f>Sayfa1!F620*1000</f>
        <v>0.62608718872070313</v>
      </c>
    </row>
    <row r="621" spans="2:7" x14ac:dyDescent="0.3">
      <c r="B621" s="1">
        <v>0.79166666666666663</v>
      </c>
      <c r="C621">
        <v>283.3572998046875</v>
      </c>
      <c r="D621">
        <v>-1.313690185546875</v>
      </c>
      <c r="E621">
        <v>1.1396942138671875</v>
      </c>
      <c r="F621">
        <v>1.5759468078613281E-3</v>
      </c>
      <c r="G621">
        <f>Sayfa1!F621*1000</f>
        <v>1.5759468078613281</v>
      </c>
    </row>
    <row r="622" spans="2:7" x14ac:dyDescent="0.3">
      <c r="B622" s="1">
        <v>0.83333333333333337</v>
      </c>
      <c r="C622">
        <v>283.49722290039063</v>
      </c>
      <c r="D622">
        <v>-1.3026123046875</v>
      </c>
      <c r="E622">
        <v>1.59234619140625</v>
      </c>
      <c r="F622">
        <v>8.1539154052734375E-4</v>
      </c>
      <c r="G622">
        <f>Sayfa1!F622*1000</f>
        <v>0.81539154052734375</v>
      </c>
    </row>
    <row r="623" spans="2:7" x14ac:dyDescent="0.3">
      <c r="B623" s="1">
        <v>0.875</v>
      </c>
      <c r="C623">
        <v>283.177490234375</v>
      </c>
      <c r="D623">
        <v>-0.8247833251953125</v>
      </c>
      <c r="E623">
        <v>2.172515869140625</v>
      </c>
      <c r="F623">
        <v>1.4090538024902344E-3</v>
      </c>
      <c r="G623">
        <f>Sayfa1!F623*1000</f>
        <v>1.4090538024902344</v>
      </c>
    </row>
    <row r="624" spans="2:7" x14ac:dyDescent="0.3">
      <c r="B624" s="1">
        <v>0.91666666666666663</v>
      </c>
      <c r="C624">
        <v>282.71926879882813</v>
      </c>
      <c r="D624">
        <v>-1.107513427734375</v>
      </c>
      <c r="E624">
        <v>1.0153045654296875</v>
      </c>
      <c r="F624">
        <v>1.9459724426269531E-3</v>
      </c>
      <c r="G624">
        <f>Sayfa1!F624*1000</f>
        <v>1.9459724426269531</v>
      </c>
    </row>
    <row r="625" spans="2:7" x14ac:dyDescent="0.3">
      <c r="B625" s="1">
        <v>0.95833333333333337</v>
      </c>
      <c r="C625">
        <v>282.96719360351563</v>
      </c>
      <c r="D625">
        <v>-1.5414886474609375</v>
      </c>
      <c r="E625">
        <v>1.34820556640625</v>
      </c>
      <c r="F625">
        <v>5.9747695922851563E-4</v>
      </c>
      <c r="G625">
        <f>Sayfa1!F625*1000</f>
        <v>0.59747695922851563</v>
      </c>
    </row>
    <row r="626" spans="2:7" x14ac:dyDescent="0.3">
      <c r="B626" s="1">
        <v>0</v>
      </c>
      <c r="C626">
        <v>282.53143310546875</v>
      </c>
      <c r="D626">
        <v>-1.57904052734375</v>
      </c>
      <c r="E626">
        <v>0.5338897705078125</v>
      </c>
      <c r="F626">
        <v>1.5649795532226563E-3</v>
      </c>
      <c r="G626">
        <f>Sayfa1!F626*1000</f>
        <v>1.5649795532226563</v>
      </c>
    </row>
    <row r="627" spans="2:7" x14ac:dyDescent="0.3">
      <c r="B627" s="1">
        <v>4.1666666666666664E-2</v>
      </c>
      <c r="C627">
        <v>282.6160888671875</v>
      </c>
      <c r="D627">
        <v>-1.4071502685546875</v>
      </c>
      <c r="E627">
        <v>8.54339599609375E-2</v>
      </c>
      <c r="F627">
        <v>3.4856796264648438E-4</v>
      </c>
      <c r="G627">
        <f>Sayfa1!F627*1000</f>
        <v>0.34856796264648438</v>
      </c>
    </row>
    <row r="628" spans="2:7" x14ac:dyDescent="0.3">
      <c r="B628" s="1">
        <v>8.3333333333333329E-2</v>
      </c>
      <c r="C628">
        <v>282.51885986328125</v>
      </c>
      <c r="D628">
        <v>-1.434234619140625</v>
      </c>
      <c r="E628">
        <v>-0.2590789794921875</v>
      </c>
      <c r="F628">
        <v>2.55584716796875E-4</v>
      </c>
      <c r="G628">
        <f>Sayfa1!F628*1000</f>
        <v>0.255584716796875</v>
      </c>
    </row>
    <row r="629" spans="2:7" x14ac:dyDescent="0.3">
      <c r="B629" s="1">
        <v>0.125</v>
      </c>
      <c r="C629">
        <v>282.4783935546875</v>
      </c>
      <c r="D629">
        <v>-1.5594482421875</v>
      </c>
      <c r="E629">
        <v>-0.513519287109375</v>
      </c>
      <c r="F629">
        <v>3.0851364135742188E-4</v>
      </c>
      <c r="G629">
        <f>Sayfa1!F629*1000</f>
        <v>0.30851364135742188</v>
      </c>
    </row>
    <row r="630" spans="2:7" x14ac:dyDescent="0.3">
      <c r="B630" s="1">
        <v>0.16666666666666666</v>
      </c>
      <c r="C630">
        <v>282.14794921875</v>
      </c>
      <c r="D630">
        <v>-1.94580078125</v>
      </c>
      <c r="E630">
        <v>-0.7670135498046875</v>
      </c>
      <c r="F630">
        <v>2.5987625122070313E-4</v>
      </c>
      <c r="G630">
        <f>Sayfa1!F630*1000</f>
        <v>0.25987625122070313</v>
      </c>
    </row>
    <row r="631" spans="2:7" x14ac:dyDescent="0.3">
      <c r="B631" s="1">
        <v>0.20833333333333334</v>
      </c>
      <c r="C631">
        <v>281.5675048828125</v>
      </c>
      <c r="D631">
        <v>-2.1511383056640625</v>
      </c>
      <c r="E631">
        <v>-1.424530029296875</v>
      </c>
      <c r="F631">
        <v>2.8324127197265625E-4</v>
      </c>
      <c r="G631">
        <f>Sayfa1!F631*1000</f>
        <v>0.28324127197265625</v>
      </c>
    </row>
    <row r="632" spans="2:7" x14ac:dyDescent="0.3">
      <c r="B632" s="1">
        <v>0.25</v>
      </c>
      <c r="C632">
        <v>280.49224853515625</v>
      </c>
      <c r="D632">
        <v>-1.9199676513671875</v>
      </c>
      <c r="E632">
        <v>-1.7264404296875</v>
      </c>
      <c r="F632">
        <v>2.1505355834960938E-4</v>
      </c>
      <c r="G632">
        <f>Sayfa1!F632*1000</f>
        <v>0.21505355834960938</v>
      </c>
    </row>
    <row r="633" spans="2:7" x14ac:dyDescent="0.3">
      <c r="B633" s="1">
        <v>0.29166666666666669</v>
      </c>
      <c r="C633">
        <v>279.56512451171875</v>
      </c>
      <c r="D633">
        <v>-1.3464813232421875</v>
      </c>
      <c r="E633">
        <v>-2.1681976318359375</v>
      </c>
      <c r="F633">
        <v>1.1277198791503906E-3</v>
      </c>
      <c r="G633">
        <f>Sayfa1!F633*1000</f>
        <v>1.1277198791503906</v>
      </c>
    </row>
    <row r="634" spans="2:7" x14ac:dyDescent="0.3">
      <c r="B634" s="1">
        <v>0.33333333333333331</v>
      </c>
      <c r="C634">
        <v>279.371826171875</v>
      </c>
      <c r="D634">
        <v>-0.6606903076171875</v>
      </c>
      <c r="E634">
        <v>-2.2217559814453125</v>
      </c>
      <c r="F634">
        <v>5.397796630859375E-4</v>
      </c>
      <c r="G634">
        <f>Sayfa1!F634*1000</f>
        <v>0.5397796630859375</v>
      </c>
    </row>
    <row r="635" spans="2:7" x14ac:dyDescent="0.3">
      <c r="B635" s="1">
        <v>0.375</v>
      </c>
      <c r="C635">
        <v>279.84490966796875</v>
      </c>
      <c r="D635">
        <v>-0.4371490478515625</v>
      </c>
      <c r="E635">
        <v>-2.0084381103515625</v>
      </c>
      <c r="F635">
        <v>1.6880035400390625E-4</v>
      </c>
      <c r="G635">
        <f>Sayfa1!F635*1000</f>
        <v>0.16880035400390625</v>
      </c>
    </row>
    <row r="636" spans="2:7" x14ac:dyDescent="0.3">
      <c r="B636" s="1">
        <v>0.41666666666666669</v>
      </c>
      <c r="C636">
        <v>281.24465942382813</v>
      </c>
      <c r="D636">
        <v>-0.5445404052734375</v>
      </c>
      <c r="E636">
        <v>-1.905853271484375</v>
      </c>
      <c r="F636">
        <v>6.961822509765625E-5</v>
      </c>
      <c r="G636">
        <f>Sayfa1!F636*1000</f>
        <v>6.961822509765625E-2</v>
      </c>
    </row>
    <row r="637" spans="2:7" x14ac:dyDescent="0.3">
      <c r="B637" s="1">
        <v>0.45833333333333331</v>
      </c>
      <c r="C637">
        <v>281.52658081054688</v>
      </c>
      <c r="D637">
        <v>-0.693511962890625</v>
      </c>
      <c r="E637">
        <v>-1.8195953369140625</v>
      </c>
      <c r="F637">
        <v>4.863739013671875E-5</v>
      </c>
      <c r="G637">
        <f>Sayfa1!F637*1000</f>
        <v>4.863739013671875E-2</v>
      </c>
    </row>
    <row r="638" spans="2:7" x14ac:dyDescent="0.3">
      <c r="B638" s="1">
        <v>0.5</v>
      </c>
      <c r="C638">
        <v>281.71157836914063</v>
      </c>
      <c r="D638">
        <v>-0.547393798828125</v>
      </c>
      <c r="E638">
        <v>-1.8451385498046875</v>
      </c>
      <c r="F638">
        <v>5.0067901611328125E-5</v>
      </c>
      <c r="G638">
        <f>Sayfa1!F638*1000</f>
        <v>5.0067901611328125E-2</v>
      </c>
    </row>
    <row r="639" spans="2:7" x14ac:dyDescent="0.3">
      <c r="B639" s="1">
        <v>0.54166666666666663</v>
      </c>
      <c r="C639">
        <v>281.843017578125</v>
      </c>
      <c r="D639">
        <v>-0.4252777099609375</v>
      </c>
      <c r="E639">
        <v>-1.8669586181640625</v>
      </c>
      <c r="F639">
        <v>6.4373016357421875E-5</v>
      </c>
      <c r="G639">
        <f>Sayfa1!F639*1000</f>
        <v>6.4373016357421875E-2</v>
      </c>
    </row>
    <row r="640" spans="2:7" x14ac:dyDescent="0.3">
      <c r="B640" s="1">
        <v>0.58333333333333337</v>
      </c>
      <c r="C640">
        <v>281.91473388671875</v>
      </c>
      <c r="D640">
        <v>-0.35443115234375</v>
      </c>
      <c r="E640">
        <v>-1.90911865234375</v>
      </c>
      <c r="F640">
        <v>1.430511474609375E-4</v>
      </c>
      <c r="G640">
        <f>Sayfa1!F640*1000</f>
        <v>0.1430511474609375</v>
      </c>
    </row>
    <row r="641" spans="2:7" x14ac:dyDescent="0.3">
      <c r="B641" s="1">
        <v>0.625</v>
      </c>
      <c r="C641">
        <v>281.97000122070313</v>
      </c>
      <c r="D641">
        <v>-0.43621826171875</v>
      </c>
      <c r="E641">
        <v>-1.818511962890625</v>
      </c>
      <c r="F641">
        <v>1.0156631469726563E-4</v>
      </c>
      <c r="G641">
        <f>Sayfa1!F641*1000</f>
        <v>0.10156631469726563</v>
      </c>
    </row>
    <row r="642" spans="2:7" x14ac:dyDescent="0.3">
      <c r="B642" s="1">
        <v>0.66666666666666663</v>
      </c>
      <c r="C642">
        <v>282.014404296875</v>
      </c>
      <c r="D642">
        <v>-0.457305908203125</v>
      </c>
      <c r="E642">
        <v>-1.4920501708984375</v>
      </c>
      <c r="F642">
        <v>7.534027099609375E-5</v>
      </c>
      <c r="G642">
        <f>Sayfa1!F642*1000</f>
        <v>7.534027099609375E-2</v>
      </c>
    </row>
    <row r="643" spans="2:7" x14ac:dyDescent="0.3">
      <c r="B643" s="1">
        <v>0.70833333333333337</v>
      </c>
      <c r="C643">
        <v>282.1669921875</v>
      </c>
      <c r="D643">
        <v>-0.441314697265625</v>
      </c>
      <c r="E643">
        <v>-1.2177276611328125</v>
      </c>
      <c r="F643">
        <v>4.1961669921875E-5</v>
      </c>
      <c r="G643">
        <f>Sayfa1!F643*1000</f>
        <v>4.1961669921875E-2</v>
      </c>
    </row>
    <row r="644" spans="2:7" x14ac:dyDescent="0.3">
      <c r="B644" s="1">
        <v>0.75</v>
      </c>
      <c r="C644">
        <v>283.06698608398438</v>
      </c>
      <c r="D644">
        <v>-0.6425933837890625</v>
      </c>
      <c r="E644">
        <v>-1.1603240966796875</v>
      </c>
      <c r="F644">
        <v>0</v>
      </c>
      <c r="G644">
        <f>Sayfa1!F644*1000</f>
        <v>0</v>
      </c>
    </row>
    <row r="645" spans="2:7" x14ac:dyDescent="0.3">
      <c r="B645" s="1">
        <v>0.79166666666666663</v>
      </c>
      <c r="C645">
        <v>284.23092651367188</v>
      </c>
      <c r="D645">
        <v>-1.0275421142578125</v>
      </c>
      <c r="E645">
        <v>-1.351165771484375</v>
      </c>
      <c r="F645">
        <v>0</v>
      </c>
      <c r="G645">
        <f>Sayfa1!F645*1000</f>
        <v>0</v>
      </c>
    </row>
    <row r="646" spans="2:7" x14ac:dyDescent="0.3">
      <c r="B646" s="1">
        <v>0.83333333333333337</v>
      </c>
      <c r="C646">
        <v>285.622802734375</v>
      </c>
      <c r="D646">
        <v>-1.9921875</v>
      </c>
      <c r="E646">
        <v>-1.704315185546875</v>
      </c>
      <c r="F646">
        <v>0</v>
      </c>
      <c r="G646">
        <f>Sayfa1!F646*1000</f>
        <v>0</v>
      </c>
    </row>
    <row r="647" spans="2:7" x14ac:dyDescent="0.3">
      <c r="B647" s="1">
        <v>0.875</v>
      </c>
      <c r="C647">
        <v>286.57147216796875</v>
      </c>
      <c r="D647">
        <v>-1.944580078125</v>
      </c>
      <c r="E647">
        <v>-1.567962646484375</v>
      </c>
      <c r="F647">
        <v>0</v>
      </c>
      <c r="G647">
        <f>Sayfa1!F647*1000</f>
        <v>0</v>
      </c>
    </row>
    <row r="648" spans="2:7" x14ac:dyDescent="0.3">
      <c r="B648" s="1">
        <v>0.91666666666666663</v>
      </c>
      <c r="C648">
        <v>286.85821533203125</v>
      </c>
      <c r="D648">
        <v>-0.14324951171875</v>
      </c>
      <c r="E648">
        <v>-0.6098175048828125</v>
      </c>
      <c r="F648">
        <v>0</v>
      </c>
      <c r="G648">
        <f>Sayfa1!F648*1000</f>
        <v>0</v>
      </c>
    </row>
    <row r="649" spans="2:7" x14ac:dyDescent="0.3">
      <c r="B649" s="1">
        <v>0.95833333333333337</v>
      </c>
      <c r="C649">
        <v>287.02386474609375</v>
      </c>
      <c r="D649">
        <v>0.9625396728515625</v>
      </c>
      <c r="E649">
        <v>-0.7268218994140625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286.82284545898438</v>
      </c>
      <c r="D650">
        <v>0.8756256103515625</v>
      </c>
      <c r="E650">
        <v>-0.31365966796875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286.294189453125</v>
      </c>
      <c r="D651">
        <v>0.7415618896484375</v>
      </c>
      <c r="E651">
        <v>0.41607666015625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285.7811279296875</v>
      </c>
      <c r="D652">
        <v>0.86785888671875</v>
      </c>
      <c r="E652">
        <v>0.4571533203125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285.41961669921875</v>
      </c>
      <c r="D653">
        <v>0.8561553955078125</v>
      </c>
      <c r="E653">
        <v>-3.759765625E-2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285.19863891601563</v>
      </c>
      <c r="D654">
        <v>0.62213134765625</v>
      </c>
      <c r="E654">
        <v>-0.6389007568359375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285.14407348632813</v>
      </c>
      <c r="D655">
        <v>0.1693267822265625</v>
      </c>
      <c r="E655">
        <v>-1.222869873046875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285.12069702148438</v>
      </c>
      <c r="D656">
        <v>-0.1817474365234375</v>
      </c>
      <c r="E656">
        <v>-1.44879150390625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284.98263549804688</v>
      </c>
      <c r="D657">
        <v>-0.2852325439453125</v>
      </c>
      <c r="E657">
        <v>-1.5858154296875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284.9342041015625</v>
      </c>
      <c r="D658">
        <v>-0.444183349609375</v>
      </c>
      <c r="E658">
        <v>-1.6407928466796875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284.8001708984375</v>
      </c>
      <c r="D659">
        <v>-0.6003265380859375</v>
      </c>
      <c r="E659">
        <v>-1.6685028076171875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283.682373046875</v>
      </c>
      <c r="D660">
        <v>-0.55780029296875</v>
      </c>
      <c r="E660">
        <v>-1.9766998291015625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283.63470458984375</v>
      </c>
      <c r="D661">
        <v>-0.3327484130859375</v>
      </c>
      <c r="E661">
        <v>-1.95855712890625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283.6529541015625</v>
      </c>
      <c r="D662">
        <v>-0.4889678955078125</v>
      </c>
      <c r="E662">
        <v>-1.8929443359375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283.62762451171875</v>
      </c>
      <c r="D663">
        <v>-0.656463623046875</v>
      </c>
      <c r="E663">
        <v>-1.961944580078125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283.49456787109375</v>
      </c>
      <c r="D664">
        <v>-0.7269134521484375</v>
      </c>
      <c r="E664">
        <v>-1.9898834228515625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283.32220458984375</v>
      </c>
      <c r="D665">
        <v>-0.467437744140625</v>
      </c>
      <c r="E665">
        <v>-1.9736328125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283.29217529296875</v>
      </c>
      <c r="D666">
        <v>-0.2659759521484375</v>
      </c>
      <c r="E666">
        <v>-1.651519775390625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283.681884765625</v>
      </c>
      <c r="D667">
        <v>-0.2727508544921875</v>
      </c>
      <c r="E667">
        <v>-1.123321533203125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284.61767578125</v>
      </c>
      <c r="D668">
        <v>-7.7117919921875E-2</v>
      </c>
      <c r="E668">
        <v>-0.3836212158203125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286.0926513671875</v>
      </c>
      <c r="D669">
        <v>0.4811248779296875</v>
      </c>
      <c r="E669">
        <v>0.72802734375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286.769287109375</v>
      </c>
      <c r="D670">
        <v>0.9482269287109375</v>
      </c>
      <c r="E670">
        <v>1.6569976806640625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286.95172119140625</v>
      </c>
      <c r="D671">
        <v>1.6771697998046875</v>
      </c>
      <c r="E671">
        <v>2.12451171875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286.9095458984375</v>
      </c>
      <c r="D672">
        <v>1.2283782958984375</v>
      </c>
      <c r="E672">
        <v>2.321868896484375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286.62640380859375</v>
      </c>
      <c r="D673">
        <v>1.089263916015625</v>
      </c>
      <c r="E673">
        <v>2.42401123046875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286.2177734375</v>
      </c>
      <c r="D674">
        <v>0.687103271484375</v>
      </c>
      <c r="E674">
        <v>2.24639892578125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285.54119873046875</v>
      </c>
      <c r="D675">
        <v>0.1588897705078125</v>
      </c>
      <c r="E675">
        <v>1.4068450927734375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285.01129150390625</v>
      </c>
      <c r="D676">
        <v>-0.209564208984375</v>
      </c>
      <c r="E676">
        <v>1.2030181884765625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284.6571044921875</v>
      </c>
      <c r="D677">
        <v>-0.641357421875</v>
      </c>
      <c r="E677">
        <v>0.9595489501953125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284.333251953125</v>
      </c>
      <c r="D678">
        <v>-0.7735137939453125</v>
      </c>
      <c r="E678">
        <v>0.6089935302734375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284.0345458984375</v>
      </c>
      <c r="D679">
        <v>-0.995635986328125</v>
      </c>
      <c r="E679">
        <v>0.1105804443359375</v>
      </c>
      <c r="F679">
        <v>0</v>
      </c>
      <c r="G679">
        <f>Sayfa1!F679*1000</f>
        <v>0</v>
      </c>
    </row>
    <row r="680" spans="2:7" x14ac:dyDescent="0.3">
      <c r="B680" s="1">
        <v>0.25</v>
      </c>
      <c r="C680">
        <v>283.7762451171875</v>
      </c>
      <c r="D680">
        <v>-1.0415802001953125</v>
      </c>
      <c r="E680">
        <v>-0.418060302734375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283.59637451171875</v>
      </c>
      <c r="D681">
        <v>-1.01336669921875</v>
      </c>
      <c r="E681">
        <v>-0.8688507080078125</v>
      </c>
      <c r="F681">
        <v>2.384185791015625E-6</v>
      </c>
      <c r="G681">
        <f>Sayfa1!F681*1000</f>
        <v>2.384185791015625E-3</v>
      </c>
    </row>
    <row r="682" spans="2:7" x14ac:dyDescent="0.3">
      <c r="B682" s="1">
        <v>0.33333333333333331</v>
      </c>
      <c r="C682">
        <v>283.46511840820313</v>
      </c>
      <c r="D682">
        <v>-0.9771575927734375</v>
      </c>
      <c r="E682">
        <v>-1.21630859375</v>
      </c>
      <c r="F682">
        <v>4.291534423828125E-6</v>
      </c>
      <c r="G682">
        <f>Sayfa1!F682*1000</f>
        <v>4.291534423828125E-3</v>
      </c>
    </row>
    <row r="683" spans="2:7" x14ac:dyDescent="0.3">
      <c r="B683" s="1">
        <v>0.375</v>
      </c>
      <c r="C683">
        <v>283.42056274414063</v>
      </c>
      <c r="D683">
        <v>-0.857177734375</v>
      </c>
      <c r="E683">
        <v>-1.4384002685546875</v>
      </c>
      <c r="F683">
        <v>4.76837158203125E-6</v>
      </c>
      <c r="G683">
        <f>Sayfa1!F683*1000</f>
        <v>4.76837158203125E-3</v>
      </c>
    </row>
    <row r="684" spans="2:7" x14ac:dyDescent="0.3">
      <c r="B684" s="1">
        <v>0.41666666666666669</v>
      </c>
      <c r="C684">
        <v>282.84268188476563</v>
      </c>
      <c r="D684">
        <v>-0.945068359375</v>
      </c>
      <c r="E684">
        <v>-1.5605010986328125</v>
      </c>
      <c r="F684">
        <v>9.5367431640625E-7</v>
      </c>
      <c r="G684">
        <f>Sayfa1!F684*1000</f>
        <v>9.5367431640625E-4</v>
      </c>
    </row>
    <row r="685" spans="2:7" x14ac:dyDescent="0.3">
      <c r="B685" s="1">
        <v>0.45833333333333331</v>
      </c>
      <c r="C685">
        <v>283.14456176757813</v>
      </c>
      <c r="D685">
        <v>-0.7311859130859375</v>
      </c>
      <c r="E685">
        <v>-1.5261993408203125</v>
      </c>
      <c r="F685">
        <v>0</v>
      </c>
      <c r="G685">
        <f>Sayfa1!F685*1000</f>
        <v>0</v>
      </c>
    </row>
    <row r="686" spans="2:7" x14ac:dyDescent="0.3">
      <c r="B686" s="1">
        <v>0.5</v>
      </c>
      <c r="C686">
        <v>283.2664794921875</v>
      </c>
      <c r="D686">
        <v>-0.82861328125</v>
      </c>
      <c r="E686">
        <v>-1.2526092529296875</v>
      </c>
      <c r="F686">
        <v>0</v>
      </c>
      <c r="G686">
        <f>Sayfa1!F686*1000</f>
        <v>0</v>
      </c>
    </row>
    <row r="687" spans="2:7" x14ac:dyDescent="0.3">
      <c r="B687" s="1">
        <v>0.54166666666666663</v>
      </c>
      <c r="C687">
        <v>283.26150512695313</v>
      </c>
      <c r="D687">
        <v>-0.7256317138671875</v>
      </c>
      <c r="E687">
        <v>-1.4609527587890625</v>
      </c>
      <c r="F687">
        <v>0</v>
      </c>
      <c r="G687">
        <f>Sayfa1!F687*1000</f>
        <v>0</v>
      </c>
    </row>
    <row r="688" spans="2:7" x14ac:dyDescent="0.3">
      <c r="B688" s="1">
        <v>0.58333333333333337</v>
      </c>
      <c r="C688">
        <v>283.32101440429688</v>
      </c>
      <c r="D688">
        <v>-0.5550384521484375</v>
      </c>
      <c r="E688">
        <v>-1.60931396484375</v>
      </c>
      <c r="F688">
        <v>0</v>
      </c>
      <c r="G688">
        <f>Sayfa1!F688*1000</f>
        <v>0</v>
      </c>
    </row>
    <row r="689" spans="2:7" x14ac:dyDescent="0.3">
      <c r="B689" s="1">
        <v>0.625</v>
      </c>
      <c r="C689">
        <v>283.36041259765625</v>
      </c>
      <c r="D689">
        <v>-0.4243621826171875</v>
      </c>
      <c r="E689">
        <v>-1.63824462890625</v>
      </c>
      <c r="F689">
        <v>0</v>
      </c>
      <c r="G689">
        <f>Sayfa1!F689*1000</f>
        <v>0</v>
      </c>
    </row>
    <row r="690" spans="2:7" x14ac:dyDescent="0.3">
      <c r="B690" s="1">
        <v>0.66666666666666663</v>
      </c>
      <c r="C690">
        <v>283.3363037109375</v>
      </c>
      <c r="D690">
        <v>-0.20751953125</v>
      </c>
      <c r="E690">
        <v>-1.1582183837890625</v>
      </c>
      <c r="F690">
        <v>0</v>
      </c>
      <c r="G690">
        <f>Sayfa1!F690*1000</f>
        <v>0</v>
      </c>
    </row>
    <row r="691" spans="2:7" x14ac:dyDescent="0.3">
      <c r="B691" s="1">
        <v>0.70833333333333337</v>
      </c>
      <c r="C691">
        <v>283.37075805664063</v>
      </c>
      <c r="D691">
        <v>-0.151824951171875</v>
      </c>
      <c r="E691">
        <v>-0.5134124755859375</v>
      </c>
      <c r="F691">
        <v>0</v>
      </c>
      <c r="G691">
        <f>Sayfa1!F691*1000</f>
        <v>0</v>
      </c>
    </row>
    <row r="692" spans="2:7" x14ac:dyDescent="0.3">
      <c r="B692" s="1">
        <v>0.75</v>
      </c>
      <c r="C692">
        <v>284.19598388671875</v>
      </c>
      <c r="D692">
        <v>0.22125244140625</v>
      </c>
      <c r="E692">
        <v>0.476318359375</v>
      </c>
      <c r="F692">
        <v>0</v>
      </c>
      <c r="G692">
        <f>Sayfa1!F692*1000</f>
        <v>0</v>
      </c>
    </row>
    <row r="693" spans="2:7" x14ac:dyDescent="0.3">
      <c r="B693" s="1">
        <v>0.79166666666666663</v>
      </c>
      <c r="C693">
        <v>285.25958251953125</v>
      </c>
      <c r="D693">
        <v>0.4269256591796875</v>
      </c>
      <c r="E693">
        <v>0.88885498046875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286.14825439453125</v>
      </c>
      <c r="D694">
        <v>0.8135223388671875</v>
      </c>
      <c r="E694">
        <v>1.3102569580078125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286.876953125</v>
      </c>
      <c r="D695">
        <v>1.2721710205078125</v>
      </c>
      <c r="E695">
        <v>1.60455322265625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287.05560302734375</v>
      </c>
      <c r="D696">
        <v>0.78076171875</v>
      </c>
      <c r="E696">
        <v>1.457061767578125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287.235107421875</v>
      </c>
      <c r="D697">
        <v>1.4659271240234375</v>
      </c>
      <c r="E697">
        <v>1.631195068359375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286.484130859375</v>
      </c>
      <c r="D698">
        <v>1.9235992431640625</v>
      </c>
      <c r="E698">
        <v>2.19622802734375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285.0810546875</v>
      </c>
      <c r="D699">
        <v>1.5356903076171875</v>
      </c>
      <c r="E699">
        <v>1.6040191650390625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284.1065673828125</v>
      </c>
      <c r="D700">
        <v>1.101226806640625</v>
      </c>
      <c r="E700">
        <v>1.3659515380859375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283.638916015625</v>
      </c>
      <c r="D701">
        <v>0.8217926025390625</v>
      </c>
      <c r="E701">
        <v>0.974700927734375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283.3472900390625</v>
      </c>
      <c r="D702">
        <v>0.69793701171875</v>
      </c>
      <c r="E702">
        <v>0.6380462646484375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283.1195068359375</v>
      </c>
      <c r="D703">
        <v>0.4259796142578125</v>
      </c>
      <c r="E703">
        <v>0.3021240234375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282.9544677734375</v>
      </c>
      <c r="D704">
        <v>-3.72772216796875E-2</v>
      </c>
      <c r="E704">
        <v>0.1351470947265625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282.767578125</v>
      </c>
      <c r="D705">
        <v>-0.225006103515625</v>
      </c>
      <c r="E705">
        <v>9.307861328125E-4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282.61474609375</v>
      </c>
      <c r="D706">
        <v>0.1004791259765625</v>
      </c>
      <c r="E706">
        <v>-0.25567626953125</v>
      </c>
      <c r="F706">
        <v>0</v>
      </c>
      <c r="G706">
        <f>Sayfa1!F706*1000</f>
        <v>0</v>
      </c>
    </row>
    <row r="707" spans="2:7" x14ac:dyDescent="0.3">
      <c r="B707" s="1">
        <v>0.375</v>
      </c>
      <c r="C707">
        <v>282.533203125</v>
      </c>
      <c r="D707">
        <v>-8.9569091796875E-3</v>
      </c>
      <c r="E707">
        <v>-0.4635772705078125</v>
      </c>
      <c r="F707">
        <v>4.76837158203125E-7</v>
      </c>
      <c r="G707">
        <f>Sayfa1!F707*1000</f>
        <v>4.76837158203125E-4</v>
      </c>
    </row>
    <row r="708" spans="2:7" x14ac:dyDescent="0.3">
      <c r="B708" s="1">
        <v>0.41666666666666669</v>
      </c>
      <c r="C708">
        <v>283.07794189453125</v>
      </c>
      <c r="D708">
        <v>-0.578765869140625</v>
      </c>
      <c r="E708">
        <v>-0.8862762451171875</v>
      </c>
      <c r="F708">
        <v>1.811981201171875E-5</v>
      </c>
      <c r="G708">
        <f>Sayfa1!F708*1000</f>
        <v>1.811981201171875E-2</v>
      </c>
    </row>
    <row r="709" spans="2:7" x14ac:dyDescent="0.3">
      <c r="B709" s="1">
        <v>0.45833333333333331</v>
      </c>
      <c r="C709">
        <v>282.93939208984375</v>
      </c>
      <c r="D709">
        <v>-0.6097259521484375</v>
      </c>
      <c r="E709">
        <v>-0.592620849609375</v>
      </c>
      <c r="F709">
        <v>1.5735626220703125E-5</v>
      </c>
      <c r="G709">
        <f>Sayfa1!F709*1000</f>
        <v>1.5735626220703125E-2</v>
      </c>
    </row>
    <row r="710" spans="2:7" x14ac:dyDescent="0.3">
      <c r="B710" s="1">
        <v>0.5</v>
      </c>
      <c r="C710">
        <v>282.65447998046875</v>
      </c>
      <c r="D710">
        <v>-0.5095062255859375</v>
      </c>
      <c r="E710">
        <v>-0.9689178466796875</v>
      </c>
      <c r="F710">
        <v>2.3365020751953125E-5</v>
      </c>
      <c r="G710">
        <f>Sayfa1!F710*1000</f>
        <v>2.3365020751953125E-2</v>
      </c>
    </row>
    <row r="711" spans="2:7" x14ac:dyDescent="0.3">
      <c r="B711" s="1">
        <v>0.54166666666666663</v>
      </c>
      <c r="C711">
        <v>282.38949584960938</v>
      </c>
      <c r="D711">
        <v>-0.6528778076171875</v>
      </c>
      <c r="E711">
        <v>-1.3256988525390625</v>
      </c>
      <c r="F711">
        <v>8.106231689453125E-6</v>
      </c>
      <c r="G711">
        <f>Sayfa1!F711*1000</f>
        <v>8.106231689453125E-3</v>
      </c>
    </row>
    <row r="712" spans="2:7" x14ac:dyDescent="0.3">
      <c r="B712" s="1">
        <v>0.58333333333333337</v>
      </c>
      <c r="C712">
        <v>282.2490234375</v>
      </c>
      <c r="D712">
        <v>-0.7964324951171875</v>
      </c>
      <c r="E712">
        <v>-1.49664306640625</v>
      </c>
      <c r="F712">
        <v>4.100799560546875E-5</v>
      </c>
      <c r="G712">
        <f>Sayfa1!F712*1000</f>
        <v>4.100799560546875E-2</v>
      </c>
    </row>
    <row r="713" spans="2:7" x14ac:dyDescent="0.3">
      <c r="B713" s="1">
        <v>0.625</v>
      </c>
      <c r="C713">
        <v>282.1153564453125</v>
      </c>
      <c r="D713">
        <v>-0.805023193359375</v>
      </c>
      <c r="E713">
        <v>-1.5708465576171875</v>
      </c>
      <c r="F713">
        <v>5.7220458984375E-6</v>
      </c>
      <c r="G713">
        <f>Sayfa1!F713*1000</f>
        <v>5.7220458984375E-3</v>
      </c>
    </row>
    <row r="714" spans="2:7" x14ac:dyDescent="0.3">
      <c r="B714" s="1">
        <v>0.66666666666666663</v>
      </c>
      <c r="C714">
        <v>282.02728271484375</v>
      </c>
      <c r="D714">
        <v>-0.623138427734375</v>
      </c>
      <c r="E714">
        <v>-1.2456207275390625</v>
      </c>
      <c r="F714">
        <v>2.384185791015625E-5</v>
      </c>
      <c r="G714">
        <f>Sayfa1!F714*1000</f>
        <v>2.384185791015625E-2</v>
      </c>
    </row>
    <row r="715" spans="2:7" x14ac:dyDescent="0.3">
      <c r="B715" s="1">
        <v>0.70833333333333337</v>
      </c>
      <c r="C715">
        <v>282.15289306640625</v>
      </c>
      <c r="D715">
        <v>-0.5704193115234375</v>
      </c>
      <c r="E715">
        <v>-0.2030487060546875</v>
      </c>
      <c r="F715">
        <v>1.33514404296875E-5</v>
      </c>
      <c r="G715">
        <f>Sayfa1!F715*1000</f>
        <v>1.33514404296875E-2</v>
      </c>
    </row>
    <row r="716" spans="2:7" x14ac:dyDescent="0.3">
      <c r="B716" s="1">
        <v>0.75</v>
      </c>
      <c r="C716">
        <v>283.12860107421875</v>
      </c>
      <c r="D716">
        <v>-7.232666015625E-3</v>
      </c>
      <c r="E716">
        <v>0.7671661376953125</v>
      </c>
      <c r="F716">
        <v>3.814697265625E-6</v>
      </c>
      <c r="G716">
        <f>Sayfa1!F716*1000</f>
        <v>3.814697265625E-3</v>
      </c>
    </row>
    <row r="717" spans="2:7" x14ac:dyDescent="0.3">
      <c r="B717" s="1">
        <v>0.79166666666666663</v>
      </c>
      <c r="C717">
        <v>283.896484375</v>
      </c>
      <c r="D717">
        <v>0.307891845703125</v>
      </c>
      <c r="E717">
        <v>0.997589111328125</v>
      </c>
      <c r="F717">
        <v>1.621246337890625E-5</v>
      </c>
      <c r="G717">
        <f>Sayfa1!F717*1000</f>
        <v>1.621246337890625E-2</v>
      </c>
    </row>
    <row r="718" spans="2:7" x14ac:dyDescent="0.3">
      <c r="B718" s="1">
        <v>0.83333333333333337</v>
      </c>
      <c r="C718">
        <v>284.622314453125</v>
      </c>
      <c r="D718">
        <v>0.5675201416015625</v>
      </c>
      <c r="E718">
        <v>1.19677734375</v>
      </c>
      <c r="F718">
        <v>2.86102294921875E-6</v>
      </c>
      <c r="G718">
        <f>Sayfa1!F718*1000</f>
        <v>2.86102294921875E-3</v>
      </c>
    </row>
    <row r="719" spans="2:7" x14ac:dyDescent="0.3">
      <c r="B719" s="1">
        <v>0.875</v>
      </c>
      <c r="C719">
        <v>285.148193359375</v>
      </c>
      <c r="D719">
        <v>0.7561798095703125</v>
      </c>
      <c r="E719">
        <v>1.378875732421875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285.230224609375</v>
      </c>
      <c r="D720">
        <v>0.2006072998046875</v>
      </c>
      <c r="E720">
        <v>0.5983734130859375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285.791259765625</v>
      </c>
      <c r="D721">
        <v>0.4100341796875</v>
      </c>
      <c r="E721">
        <v>1.03900146484375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285.9222412109375</v>
      </c>
      <c r="D722">
        <v>0.55792236328125</v>
      </c>
      <c r="E722">
        <v>1.35797119140625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285.2008056640625</v>
      </c>
      <c r="D723">
        <v>0.761138916015625</v>
      </c>
      <c r="E723">
        <v>1.1552734375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284.439208984375</v>
      </c>
      <c r="D724">
        <v>0.814544677734375</v>
      </c>
      <c r="E724">
        <v>0.925872802734375</v>
      </c>
      <c r="F724">
        <v>9.5367431640625E-7</v>
      </c>
      <c r="G724">
        <f>Sayfa1!F724*1000</f>
        <v>9.5367431640625E-4</v>
      </c>
    </row>
    <row r="725" spans="2:7" x14ac:dyDescent="0.3">
      <c r="B725" s="1">
        <v>0.125</v>
      </c>
      <c r="C725">
        <v>283.8712158203125</v>
      </c>
      <c r="D725">
        <v>1.1486053466796875</v>
      </c>
      <c r="E725">
        <v>0.591278076171875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283.3409423828125</v>
      </c>
      <c r="D726">
        <v>1.51824951171875</v>
      </c>
      <c r="E726">
        <v>0.205535888671875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283.0347900390625</v>
      </c>
      <c r="D727">
        <v>1.2421875</v>
      </c>
      <c r="E727">
        <v>-0.3832855224609375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282.9879150390625</v>
      </c>
      <c r="D728">
        <v>0.7492523193359375</v>
      </c>
      <c r="E728">
        <v>-0.9407806396484375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283.015380859375</v>
      </c>
      <c r="D729">
        <v>0.428009033203125</v>
      </c>
      <c r="E729">
        <v>-1.192138671875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283.062255859375</v>
      </c>
      <c r="D730">
        <v>0.38983154296875</v>
      </c>
      <c r="E730">
        <v>-1.3004608154296875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283.156494140625</v>
      </c>
      <c r="D731">
        <v>-1.13983154296875E-2</v>
      </c>
      <c r="E731">
        <v>-1.3583526611328125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282.399658203125</v>
      </c>
      <c r="D732">
        <v>-0.1918182373046875</v>
      </c>
      <c r="E732">
        <v>-1.6028900146484375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282.9449462890625</v>
      </c>
      <c r="D733">
        <v>-0.1787567138671875</v>
      </c>
      <c r="E733">
        <v>-1.6339111328125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283.3934326171875</v>
      </c>
      <c r="D734">
        <v>-0.54864501953125</v>
      </c>
      <c r="E734">
        <v>-1.6808013916015625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283.5335693359375</v>
      </c>
      <c r="D735">
        <v>-0.4778594970703125</v>
      </c>
      <c r="E735">
        <v>-1.599090576171875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283.31103515625</v>
      </c>
      <c r="D736">
        <v>-0.20843505859375</v>
      </c>
      <c r="E736">
        <v>-1.620361328125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283.25634765625</v>
      </c>
      <c r="D737">
        <v>-0.1810760498046875</v>
      </c>
      <c r="E737">
        <v>-1.4869232177734375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283.44482421875</v>
      </c>
      <c r="D738">
        <v>0.27935791015625</v>
      </c>
      <c r="E738">
        <v>-1.009521484375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283.8878173828125</v>
      </c>
      <c r="D739">
        <v>0.18707275390625</v>
      </c>
      <c r="E739">
        <v>-0.5167083740234375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285.0523681640625</v>
      </c>
      <c r="D740">
        <v>0.6447296142578125</v>
      </c>
      <c r="E740">
        <v>-0.2576904296875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286.852783203125</v>
      </c>
      <c r="D741">
        <v>0.42169189453125</v>
      </c>
      <c r="E741">
        <v>0.3023529052734375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287.89111328125</v>
      </c>
      <c r="D742">
        <v>0.99432373046875</v>
      </c>
      <c r="E742">
        <v>0.986846923828125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288.30859375</v>
      </c>
      <c r="D743">
        <v>1.50555419921875</v>
      </c>
      <c r="E743">
        <v>1.363800048828125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288.538330078125</v>
      </c>
      <c r="D744">
        <v>-1.7913818359375E-2</v>
      </c>
      <c r="E744">
        <v>0.9308929443359375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288.64404296875</v>
      </c>
      <c r="D745">
        <v>0.8029632568359375</v>
      </c>
      <c r="E745">
        <v>1.46551513671875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2025-05-01T20:15:03Z</dcterms:modified>
</cp:coreProperties>
</file>