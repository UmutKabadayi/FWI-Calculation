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ARAŞTIRMA\LA_pointdata\"/>
    </mc:Choice>
  </mc:AlternateContent>
  <xr:revisionPtr revIDLastSave="0" documentId="13_ncr:1_{E0EE3DB6-2A11-48DD-B86E-E1E898A4B5D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ayfa1" sheetId="2" r:id="rId2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I742" i="1" s="1"/>
  <c r="G722" i="2"/>
  <c r="G721" i="2"/>
  <c r="G720" i="2"/>
  <c r="G719" i="2"/>
  <c r="G718" i="2"/>
  <c r="G717" i="2"/>
  <c r="G716" i="2"/>
  <c r="G715" i="2"/>
  <c r="I734" i="1" s="1"/>
  <c r="G714" i="2"/>
  <c r="G713" i="2"/>
  <c r="G712" i="2"/>
  <c r="G711" i="2"/>
  <c r="G710" i="2"/>
  <c r="G709" i="2"/>
  <c r="G708" i="2"/>
  <c r="G707" i="2"/>
  <c r="I726" i="1" s="1"/>
  <c r="G706" i="2"/>
  <c r="G705" i="2"/>
  <c r="G704" i="2"/>
  <c r="G703" i="2"/>
  <c r="G702" i="2"/>
  <c r="G701" i="2"/>
  <c r="G700" i="2"/>
  <c r="G699" i="2"/>
  <c r="I718" i="1" s="1"/>
  <c r="G698" i="2"/>
  <c r="G697" i="2"/>
  <c r="G696" i="2"/>
  <c r="G695" i="2"/>
  <c r="G694" i="2"/>
  <c r="G693" i="2"/>
  <c r="G692" i="2"/>
  <c r="G691" i="2"/>
  <c r="I710" i="1" s="1"/>
  <c r="G690" i="2"/>
  <c r="G689" i="2"/>
  <c r="G688" i="2"/>
  <c r="G687" i="2"/>
  <c r="G686" i="2"/>
  <c r="G685" i="2"/>
  <c r="G684" i="2"/>
  <c r="G683" i="2"/>
  <c r="I701" i="1" s="1"/>
  <c r="G682" i="2"/>
  <c r="G681" i="2"/>
  <c r="G680" i="2"/>
  <c r="G679" i="2"/>
  <c r="G678" i="2"/>
  <c r="G677" i="2"/>
  <c r="G676" i="2"/>
  <c r="G675" i="2"/>
  <c r="I692" i="1" s="1"/>
  <c r="G674" i="2"/>
  <c r="G673" i="2"/>
  <c r="G672" i="2"/>
  <c r="G671" i="2"/>
  <c r="G670" i="2"/>
  <c r="G669" i="2"/>
  <c r="G668" i="2"/>
  <c r="G667" i="2"/>
  <c r="I683" i="1" s="1"/>
  <c r="G666" i="2"/>
  <c r="G665" i="2"/>
  <c r="G664" i="2"/>
  <c r="G663" i="2"/>
  <c r="G662" i="2"/>
  <c r="G661" i="2"/>
  <c r="G660" i="2"/>
  <c r="G659" i="2"/>
  <c r="I675" i="1" s="1"/>
  <c r="G658" i="2"/>
  <c r="G657" i="2"/>
  <c r="G656" i="2"/>
  <c r="G655" i="2"/>
  <c r="G654" i="2"/>
  <c r="G653" i="2"/>
  <c r="G652" i="2"/>
  <c r="G651" i="2"/>
  <c r="I674" i="1" s="1"/>
  <c r="G650" i="2"/>
  <c r="G649" i="2"/>
  <c r="G648" i="2"/>
  <c r="G647" i="2"/>
  <c r="G646" i="2"/>
  <c r="G645" i="2"/>
  <c r="G644" i="2"/>
  <c r="G643" i="2"/>
  <c r="I665" i="1" s="1"/>
  <c r="G642" i="2"/>
  <c r="G641" i="2"/>
  <c r="G640" i="2"/>
  <c r="G639" i="2"/>
  <c r="G638" i="2"/>
  <c r="G637" i="2"/>
  <c r="G636" i="2"/>
  <c r="G635" i="2"/>
  <c r="I656" i="1" s="1"/>
  <c r="G634" i="2"/>
  <c r="G633" i="2"/>
  <c r="G632" i="2"/>
  <c r="G631" i="2"/>
  <c r="G630" i="2"/>
  <c r="G629" i="2"/>
  <c r="G628" i="2"/>
  <c r="G627" i="2"/>
  <c r="I646" i="1" s="1"/>
  <c r="G626" i="2"/>
  <c r="G625" i="2"/>
  <c r="G624" i="2"/>
  <c r="G623" i="2"/>
  <c r="G622" i="2"/>
  <c r="G621" i="2"/>
  <c r="G620" i="2"/>
  <c r="G619" i="2"/>
  <c r="I635" i="1" s="1"/>
  <c r="G618" i="2"/>
  <c r="G617" i="2"/>
  <c r="G616" i="2"/>
  <c r="G615" i="2"/>
  <c r="G614" i="2"/>
  <c r="G613" i="2"/>
  <c r="G612" i="2"/>
  <c r="G611" i="2"/>
  <c r="I634" i="1" s="1"/>
  <c r="G610" i="2"/>
  <c r="G609" i="2"/>
  <c r="G608" i="2"/>
  <c r="G607" i="2"/>
  <c r="G606" i="2"/>
  <c r="G605" i="2"/>
  <c r="G604" i="2"/>
  <c r="G603" i="2"/>
  <c r="I620" i="1" s="1"/>
  <c r="G602" i="2"/>
  <c r="G601" i="2"/>
  <c r="G600" i="2"/>
  <c r="G599" i="2"/>
  <c r="G598" i="2"/>
  <c r="G597" i="2"/>
  <c r="G596" i="2"/>
  <c r="G595" i="2"/>
  <c r="I618" i="1" s="1"/>
  <c r="G594" i="2"/>
  <c r="G593" i="2"/>
  <c r="G592" i="2"/>
  <c r="G591" i="2"/>
  <c r="G590" i="2"/>
  <c r="G589" i="2"/>
  <c r="G588" i="2"/>
  <c r="G587" i="2"/>
  <c r="I604" i="1" s="1"/>
  <c r="G586" i="2"/>
  <c r="G585" i="2"/>
  <c r="G584" i="2"/>
  <c r="G583" i="2"/>
  <c r="G582" i="2"/>
  <c r="G581" i="2"/>
  <c r="G580" i="2"/>
  <c r="G579" i="2"/>
  <c r="I601" i="1" s="1"/>
  <c r="G578" i="2"/>
  <c r="G577" i="2"/>
  <c r="G576" i="2"/>
  <c r="G575" i="2"/>
  <c r="G574" i="2"/>
  <c r="G573" i="2"/>
  <c r="G572" i="2"/>
  <c r="G571" i="2"/>
  <c r="I593" i="1" s="1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I577" i="1" s="1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I561" i="1" s="1"/>
  <c r="G538" i="2"/>
  <c r="G537" i="2"/>
  <c r="G536" i="2"/>
  <c r="G535" i="2"/>
  <c r="G534" i="2"/>
  <c r="G533" i="2"/>
  <c r="G532" i="2"/>
  <c r="G531" i="2"/>
  <c r="I553" i="1" s="1"/>
  <c r="G530" i="2"/>
  <c r="G529" i="2"/>
  <c r="G528" i="2"/>
  <c r="G527" i="2"/>
  <c r="G526" i="2"/>
  <c r="G525" i="2"/>
  <c r="G524" i="2"/>
  <c r="G523" i="2"/>
  <c r="I545" i="1" s="1"/>
  <c r="G522" i="2"/>
  <c r="G521" i="2"/>
  <c r="G520" i="2"/>
  <c r="G519" i="2"/>
  <c r="G518" i="2"/>
  <c r="G517" i="2"/>
  <c r="G516" i="2"/>
  <c r="G515" i="2"/>
  <c r="I537" i="1" s="1"/>
  <c r="G514" i="2"/>
  <c r="G513" i="2"/>
  <c r="G512" i="2"/>
  <c r="G511" i="2"/>
  <c r="G510" i="2"/>
  <c r="G509" i="2"/>
  <c r="G508" i="2"/>
  <c r="G507" i="2"/>
  <c r="I529" i="1" s="1"/>
  <c r="G506" i="2"/>
  <c r="G505" i="2"/>
  <c r="G504" i="2"/>
  <c r="G503" i="2"/>
  <c r="G502" i="2"/>
  <c r="G501" i="2"/>
  <c r="G500" i="2"/>
  <c r="G499" i="2"/>
  <c r="I521" i="1" s="1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I497" i="1" s="1"/>
  <c r="G474" i="2"/>
  <c r="G473" i="2"/>
  <c r="G472" i="2"/>
  <c r="G471" i="2"/>
  <c r="G470" i="2"/>
  <c r="G469" i="2"/>
  <c r="G468" i="2"/>
  <c r="G467" i="2"/>
  <c r="I489" i="1" s="1"/>
  <c r="G466" i="2"/>
  <c r="G465" i="2"/>
  <c r="G464" i="2"/>
  <c r="G463" i="2"/>
  <c r="G462" i="2"/>
  <c r="G461" i="2"/>
  <c r="G460" i="2"/>
  <c r="G459" i="2"/>
  <c r="I481" i="1" s="1"/>
  <c r="G458" i="2"/>
  <c r="G457" i="2"/>
  <c r="G456" i="2"/>
  <c r="G455" i="2"/>
  <c r="G454" i="2"/>
  <c r="G453" i="2"/>
  <c r="G452" i="2"/>
  <c r="G451" i="2"/>
  <c r="I473" i="1" s="1"/>
  <c r="G450" i="2"/>
  <c r="G449" i="2"/>
  <c r="G448" i="2"/>
  <c r="G447" i="2"/>
  <c r="G446" i="2"/>
  <c r="G445" i="2"/>
  <c r="G444" i="2"/>
  <c r="G443" i="2"/>
  <c r="I465" i="1" s="1"/>
  <c r="G442" i="2"/>
  <c r="G441" i="2"/>
  <c r="G440" i="2"/>
  <c r="G439" i="2"/>
  <c r="G438" i="2"/>
  <c r="G437" i="2"/>
  <c r="G436" i="2"/>
  <c r="G435" i="2"/>
  <c r="I457" i="1" s="1"/>
  <c r="G434" i="2"/>
  <c r="G433" i="2"/>
  <c r="G432" i="2"/>
  <c r="G431" i="2"/>
  <c r="G430" i="2"/>
  <c r="G429" i="2"/>
  <c r="G428" i="2"/>
  <c r="G427" i="2"/>
  <c r="I449" i="1" s="1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I425" i="1" s="1"/>
  <c r="G402" i="2"/>
  <c r="G401" i="2"/>
  <c r="G400" i="2"/>
  <c r="G399" i="2"/>
  <c r="G398" i="2"/>
  <c r="G397" i="2"/>
  <c r="G396" i="2"/>
  <c r="G395" i="2"/>
  <c r="I417" i="1" s="1"/>
  <c r="G394" i="2"/>
  <c r="G393" i="2"/>
  <c r="G392" i="2"/>
  <c r="G391" i="2"/>
  <c r="G390" i="2"/>
  <c r="G389" i="2"/>
  <c r="G388" i="2"/>
  <c r="G387" i="2"/>
  <c r="I409" i="1" s="1"/>
  <c r="G386" i="2"/>
  <c r="G385" i="2"/>
  <c r="G384" i="2"/>
  <c r="G383" i="2"/>
  <c r="G382" i="2"/>
  <c r="G381" i="2"/>
  <c r="G380" i="2"/>
  <c r="G379" i="2"/>
  <c r="I401" i="1" s="1"/>
  <c r="G378" i="2"/>
  <c r="G377" i="2"/>
  <c r="G376" i="2"/>
  <c r="G375" i="2"/>
  <c r="G374" i="2"/>
  <c r="G373" i="2"/>
  <c r="G372" i="2"/>
  <c r="G371" i="2"/>
  <c r="I393" i="1" s="1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I369" i="1" s="1"/>
  <c r="G346" i="2"/>
  <c r="G345" i="2"/>
  <c r="G344" i="2"/>
  <c r="G343" i="2"/>
  <c r="G342" i="2"/>
  <c r="G341" i="2"/>
  <c r="G340" i="2"/>
  <c r="G339" i="2"/>
  <c r="I361" i="1" s="1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I345" i="1" s="1"/>
  <c r="G322" i="2"/>
  <c r="G321" i="2"/>
  <c r="G320" i="2"/>
  <c r="G319" i="2"/>
  <c r="G318" i="2"/>
  <c r="G317" i="2"/>
  <c r="G316" i="2"/>
  <c r="G315" i="2"/>
  <c r="I337" i="1" s="1"/>
  <c r="G314" i="2"/>
  <c r="G313" i="2"/>
  <c r="G312" i="2"/>
  <c r="G311" i="2"/>
  <c r="G310" i="2"/>
  <c r="G309" i="2"/>
  <c r="G308" i="2"/>
  <c r="G307" i="2"/>
  <c r="G306" i="2"/>
  <c r="I329" i="1" s="1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I305" i="1" s="1"/>
  <c r="G282" i="2"/>
  <c r="G281" i="2"/>
  <c r="G280" i="2"/>
  <c r="G279" i="2"/>
  <c r="G278" i="2"/>
  <c r="G277" i="2"/>
  <c r="G276" i="2"/>
  <c r="G275" i="2"/>
  <c r="I297" i="1" s="1"/>
  <c r="G274" i="2"/>
  <c r="G273" i="2"/>
  <c r="G272" i="2"/>
  <c r="G271" i="2"/>
  <c r="G270" i="2"/>
  <c r="G269" i="2"/>
  <c r="G268" i="2"/>
  <c r="G267" i="2"/>
  <c r="G266" i="2"/>
  <c r="I289" i="1" s="1"/>
  <c r="G265" i="2"/>
  <c r="G264" i="2"/>
  <c r="G263" i="2"/>
  <c r="G262" i="2"/>
  <c r="G261" i="2"/>
  <c r="G260" i="2"/>
  <c r="G259" i="2"/>
  <c r="I281" i="1" s="1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I265" i="1" s="1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I241" i="1" s="1"/>
  <c r="G217" i="2"/>
  <c r="G216" i="2"/>
  <c r="G215" i="2"/>
  <c r="G214" i="2"/>
  <c r="G213" i="2"/>
  <c r="G212" i="2"/>
  <c r="G211" i="2"/>
  <c r="G210" i="2"/>
  <c r="I233" i="1" s="1"/>
  <c r="G209" i="2"/>
  <c r="G208" i="2"/>
  <c r="G207" i="2"/>
  <c r="G206" i="2"/>
  <c r="G205" i="2"/>
  <c r="G204" i="2"/>
  <c r="G203" i="2"/>
  <c r="G202" i="2"/>
  <c r="I225" i="1" s="1"/>
  <c r="G201" i="2"/>
  <c r="G200" i="2"/>
  <c r="G199" i="2"/>
  <c r="G198" i="2"/>
  <c r="G197" i="2"/>
  <c r="G196" i="2"/>
  <c r="G195" i="2"/>
  <c r="I217" i="1" s="1"/>
  <c r="G194" i="2"/>
  <c r="G193" i="2"/>
  <c r="G192" i="2"/>
  <c r="G191" i="2"/>
  <c r="G190" i="2"/>
  <c r="G189" i="2"/>
  <c r="G188" i="2"/>
  <c r="G187" i="2"/>
  <c r="G186" i="2"/>
  <c r="I209" i="1" s="1"/>
  <c r="G185" i="2"/>
  <c r="G184" i="2"/>
  <c r="G183" i="2"/>
  <c r="G182" i="2"/>
  <c r="G181" i="2"/>
  <c r="G180" i="2"/>
  <c r="G179" i="2"/>
  <c r="I201" i="1" s="1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I169" i="1" s="1"/>
  <c r="G145" i="2"/>
  <c r="G144" i="2"/>
  <c r="G143" i="2"/>
  <c r="G142" i="2"/>
  <c r="G141" i="2"/>
  <c r="G140" i="2"/>
  <c r="G139" i="2"/>
  <c r="G138" i="2"/>
  <c r="I161" i="1" s="1"/>
  <c r="G137" i="2"/>
  <c r="G136" i="2"/>
  <c r="G135" i="2"/>
  <c r="G134" i="2"/>
  <c r="G133" i="2"/>
  <c r="G132" i="2"/>
  <c r="G131" i="2"/>
  <c r="G130" i="2"/>
  <c r="I153" i="1" s="1"/>
  <c r="G129" i="2"/>
  <c r="G128" i="2"/>
  <c r="G127" i="2"/>
  <c r="G126" i="2"/>
  <c r="G125" i="2"/>
  <c r="G124" i="2"/>
  <c r="G123" i="2"/>
  <c r="G122" i="2"/>
  <c r="I145" i="1" s="1"/>
  <c r="G121" i="2"/>
  <c r="G120" i="2"/>
  <c r="G119" i="2"/>
  <c r="G118" i="2"/>
  <c r="G117" i="2"/>
  <c r="G116" i="2"/>
  <c r="G115" i="2"/>
  <c r="G114" i="2"/>
  <c r="I137" i="1" s="1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I113" i="1" s="1"/>
  <c r="G89" i="2"/>
  <c r="G88" i="2"/>
  <c r="G87" i="2"/>
  <c r="G86" i="2"/>
  <c r="G85" i="2"/>
  <c r="G84" i="2"/>
  <c r="G83" i="2"/>
  <c r="I106" i="1" s="1"/>
  <c r="G82" i="2"/>
  <c r="G81" i="2"/>
  <c r="G80" i="2"/>
  <c r="G79" i="2"/>
  <c r="G78" i="2"/>
  <c r="G77" i="2"/>
  <c r="G76" i="2"/>
  <c r="G75" i="2"/>
  <c r="I98" i="1" s="1"/>
  <c r="G74" i="2"/>
  <c r="G73" i="2"/>
  <c r="G72" i="2"/>
  <c r="G71" i="2"/>
  <c r="G70" i="2"/>
  <c r="G69" i="2"/>
  <c r="G68" i="2"/>
  <c r="G67" i="2"/>
  <c r="I90" i="1" s="1"/>
  <c r="G66" i="2"/>
  <c r="I89" i="1" s="1"/>
  <c r="G65" i="2"/>
  <c r="G64" i="2"/>
  <c r="G63" i="2"/>
  <c r="G62" i="2"/>
  <c r="G61" i="2"/>
  <c r="G60" i="2"/>
  <c r="G59" i="2"/>
  <c r="I82" i="1" s="1"/>
  <c r="G58" i="2"/>
  <c r="I81" i="1" s="1"/>
  <c r="G57" i="2"/>
  <c r="G56" i="2"/>
  <c r="G55" i="2"/>
  <c r="G54" i="2"/>
  <c r="G53" i="2"/>
  <c r="G52" i="2"/>
  <c r="G51" i="2"/>
  <c r="G50" i="2"/>
  <c r="I73" i="1" s="1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I58" i="1" s="1"/>
  <c r="G34" i="2"/>
  <c r="G33" i="2"/>
  <c r="G32" i="2"/>
  <c r="G31" i="2"/>
  <c r="G30" i="2"/>
  <c r="G29" i="2"/>
  <c r="G28" i="2"/>
  <c r="G27" i="2"/>
  <c r="I50" i="1" s="1"/>
  <c r="G26" i="2"/>
  <c r="I49" i="1" s="1"/>
  <c r="G25" i="2"/>
  <c r="G24" i="2"/>
  <c r="G23" i="2"/>
  <c r="G22" i="2"/>
  <c r="G21" i="2"/>
  <c r="G20" i="2"/>
  <c r="G19" i="2"/>
  <c r="I42" i="1" s="1"/>
  <c r="G18" i="2"/>
  <c r="I41" i="1" s="1"/>
  <c r="G17" i="2"/>
  <c r="G16" i="2"/>
  <c r="G15" i="2"/>
  <c r="G14" i="2"/>
  <c r="G13" i="2"/>
  <c r="G12" i="2"/>
  <c r="G11" i="2"/>
  <c r="I34" i="1" s="1"/>
  <c r="G10" i="2"/>
  <c r="I33" i="1" s="1"/>
  <c r="G9" i="2"/>
  <c r="G8" i="2"/>
  <c r="G7" i="2"/>
  <c r="G6" i="2"/>
  <c r="G5" i="2"/>
  <c r="G4" i="2"/>
  <c r="G3" i="2"/>
  <c r="I26" i="1" s="1"/>
  <c r="G2" i="2"/>
  <c r="I97" i="1"/>
  <c r="I177" i="1"/>
  <c r="I273" i="1"/>
  <c r="I353" i="1"/>
  <c r="I433" i="1"/>
  <c r="I513" i="1"/>
  <c r="I585" i="1"/>
  <c r="I616" i="1"/>
  <c r="I632" i="1"/>
  <c r="I643" i="1"/>
  <c r="I653" i="1"/>
  <c r="I662" i="1"/>
  <c r="I672" i="1"/>
  <c r="I681" i="1"/>
  <c r="I690" i="1"/>
  <c r="I699" i="1"/>
  <c r="I708" i="1"/>
  <c r="I716" i="1"/>
  <c r="I724" i="1"/>
  <c r="I732" i="1"/>
  <c r="I74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2" i="1"/>
  <c r="I741" i="1" l="1"/>
  <c r="I733" i="1"/>
  <c r="I725" i="1"/>
  <c r="I717" i="1"/>
  <c r="I709" i="1"/>
  <c r="I700" i="1"/>
  <c r="I691" i="1"/>
  <c r="I682" i="1"/>
  <c r="I673" i="1"/>
  <c r="I664" i="1"/>
  <c r="I654" i="1"/>
  <c r="I644" i="1"/>
  <c r="I633" i="1"/>
  <c r="I617" i="1"/>
  <c r="I105" i="1"/>
  <c r="I25" i="1"/>
  <c r="I655" i="1"/>
  <c r="I663" i="1"/>
  <c r="I671" i="1"/>
  <c r="I679" i="1"/>
  <c r="I687" i="1"/>
  <c r="I695" i="1"/>
  <c r="I703" i="1"/>
  <c r="I74" i="1"/>
  <c r="I739" i="1"/>
  <c r="I731" i="1"/>
  <c r="I723" i="1"/>
  <c r="I715" i="1"/>
  <c r="I707" i="1"/>
  <c r="I698" i="1"/>
  <c r="I689" i="1"/>
  <c r="I680" i="1"/>
  <c r="I670" i="1"/>
  <c r="I661" i="1"/>
  <c r="I652" i="1"/>
  <c r="I642" i="1"/>
  <c r="I628" i="1"/>
  <c r="I612" i="1"/>
  <c r="I66" i="1"/>
  <c r="I738" i="1"/>
  <c r="I730" i="1"/>
  <c r="I722" i="1"/>
  <c r="I714" i="1"/>
  <c r="I706" i="1"/>
  <c r="I697" i="1"/>
  <c r="I688" i="1"/>
  <c r="I678" i="1"/>
  <c r="I669" i="1"/>
  <c r="I660" i="1"/>
  <c r="I651" i="1"/>
  <c r="I641" i="1"/>
  <c r="I626" i="1"/>
  <c r="I610" i="1"/>
  <c r="I745" i="1"/>
  <c r="I737" i="1"/>
  <c r="I729" i="1"/>
  <c r="I721" i="1"/>
  <c r="I713" i="1"/>
  <c r="I705" i="1"/>
  <c r="I696" i="1"/>
  <c r="I686" i="1"/>
  <c r="I677" i="1"/>
  <c r="I668" i="1"/>
  <c r="I659" i="1"/>
  <c r="I650" i="1"/>
  <c r="I640" i="1"/>
  <c r="I625" i="1"/>
  <c r="I609" i="1"/>
  <c r="I744" i="1"/>
  <c r="I736" i="1"/>
  <c r="I728" i="1"/>
  <c r="I720" i="1"/>
  <c r="I712" i="1"/>
  <c r="I704" i="1"/>
  <c r="I694" i="1"/>
  <c r="I685" i="1"/>
  <c r="I676" i="1"/>
  <c r="I667" i="1"/>
  <c r="I658" i="1"/>
  <c r="I649" i="1"/>
  <c r="I636" i="1"/>
  <c r="I624" i="1"/>
  <c r="I29" i="1"/>
  <c r="I37" i="1"/>
  <c r="I45" i="1"/>
  <c r="I743" i="1"/>
  <c r="I735" i="1"/>
  <c r="I727" i="1"/>
  <c r="I719" i="1"/>
  <c r="I711" i="1"/>
  <c r="I702" i="1"/>
  <c r="I693" i="1"/>
  <c r="I684" i="1"/>
  <c r="I666" i="1"/>
  <c r="I657" i="1"/>
  <c r="I648" i="1"/>
  <c r="I602" i="1"/>
  <c r="I30" i="1"/>
  <c r="I31" i="1"/>
  <c r="I32" i="1"/>
  <c r="I36" i="1"/>
  <c r="I38" i="1"/>
  <c r="I39" i="1"/>
  <c r="I40" i="1"/>
  <c r="I44" i="1"/>
  <c r="I46" i="1"/>
  <c r="I47" i="1"/>
  <c r="I48" i="1"/>
  <c r="I52" i="1"/>
  <c r="I53" i="1"/>
  <c r="I54" i="1"/>
  <c r="I55" i="1"/>
  <c r="I56" i="1"/>
  <c r="I60" i="1"/>
  <c r="I61" i="1"/>
  <c r="I62" i="1"/>
  <c r="I63" i="1"/>
  <c r="I64" i="1"/>
  <c r="I67" i="1"/>
  <c r="I68" i="1"/>
  <c r="I69" i="1"/>
  <c r="I70" i="1"/>
  <c r="I71" i="1"/>
  <c r="I72" i="1"/>
  <c r="I75" i="1"/>
  <c r="I76" i="1"/>
  <c r="I77" i="1"/>
  <c r="I78" i="1"/>
  <c r="I79" i="1"/>
  <c r="I80" i="1"/>
  <c r="I83" i="1"/>
  <c r="I84" i="1"/>
  <c r="I85" i="1"/>
  <c r="I86" i="1"/>
  <c r="I87" i="1"/>
  <c r="I88" i="1"/>
  <c r="I91" i="1"/>
  <c r="I92" i="1"/>
  <c r="I93" i="1"/>
  <c r="I94" i="1"/>
  <c r="I95" i="1"/>
  <c r="I96" i="1"/>
  <c r="I99" i="1"/>
  <c r="I100" i="1"/>
  <c r="I101" i="1"/>
  <c r="I102" i="1"/>
  <c r="I103" i="1"/>
  <c r="I104" i="1"/>
  <c r="I107" i="1"/>
  <c r="I108" i="1"/>
  <c r="I109" i="1"/>
  <c r="I110" i="1"/>
  <c r="I111" i="1"/>
  <c r="I112" i="1"/>
  <c r="I114" i="1"/>
  <c r="I115" i="1"/>
  <c r="I116" i="1"/>
  <c r="I117" i="1"/>
  <c r="I118" i="1"/>
  <c r="I119" i="1"/>
  <c r="I120" i="1"/>
  <c r="I122" i="1"/>
  <c r="I123" i="1"/>
  <c r="I124" i="1"/>
  <c r="I125" i="1"/>
  <c r="I126" i="1"/>
  <c r="I127" i="1"/>
  <c r="I128" i="1"/>
  <c r="I130" i="1"/>
  <c r="I131" i="1"/>
  <c r="I132" i="1"/>
  <c r="I133" i="1"/>
  <c r="I134" i="1"/>
  <c r="I135" i="1"/>
  <c r="I136" i="1"/>
  <c r="I138" i="1"/>
  <c r="I139" i="1"/>
  <c r="I140" i="1"/>
  <c r="I141" i="1"/>
  <c r="I142" i="1"/>
  <c r="I143" i="1"/>
  <c r="I144" i="1"/>
  <c r="I146" i="1"/>
  <c r="I147" i="1"/>
  <c r="I148" i="1"/>
  <c r="I149" i="1"/>
  <c r="I150" i="1"/>
  <c r="I151" i="1"/>
  <c r="I152" i="1"/>
  <c r="I154" i="1"/>
  <c r="I155" i="1"/>
  <c r="I156" i="1"/>
  <c r="I157" i="1"/>
  <c r="I158" i="1"/>
  <c r="I159" i="1"/>
  <c r="I160" i="1"/>
  <c r="I162" i="1"/>
  <c r="I163" i="1"/>
  <c r="I164" i="1"/>
  <c r="I165" i="1"/>
  <c r="I166" i="1"/>
  <c r="I167" i="1"/>
  <c r="I168" i="1"/>
  <c r="I170" i="1"/>
  <c r="I171" i="1"/>
  <c r="I172" i="1"/>
  <c r="I173" i="1"/>
  <c r="I174" i="1"/>
  <c r="I175" i="1"/>
  <c r="I176" i="1"/>
  <c r="I178" i="1"/>
  <c r="I179" i="1"/>
  <c r="I180" i="1"/>
  <c r="I181" i="1"/>
  <c r="I182" i="1"/>
  <c r="I183" i="1"/>
  <c r="I184" i="1"/>
  <c r="I186" i="1"/>
  <c r="I187" i="1"/>
  <c r="I188" i="1"/>
  <c r="I189" i="1"/>
  <c r="I190" i="1"/>
  <c r="I191" i="1"/>
  <c r="I192" i="1"/>
  <c r="I194" i="1"/>
  <c r="I195" i="1"/>
  <c r="I196" i="1"/>
  <c r="I197" i="1"/>
  <c r="I198" i="1"/>
  <c r="I199" i="1"/>
  <c r="I200" i="1"/>
  <c r="I202" i="1"/>
  <c r="I203" i="1"/>
  <c r="I204" i="1"/>
  <c r="I205" i="1"/>
  <c r="I206" i="1"/>
  <c r="I207" i="1"/>
  <c r="I208" i="1"/>
  <c r="I210" i="1"/>
  <c r="I211" i="1"/>
  <c r="I212" i="1"/>
  <c r="I213" i="1"/>
  <c r="I214" i="1"/>
  <c r="I215" i="1"/>
  <c r="I216" i="1"/>
  <c r="I218" i="1"/>
  <c r="I219" i="1"/>
  <c r="I220" i="1"/>
  <c r="I221" i="1"/>
  <c r="I222" i="1"/>
  <c r="I223" i="1"/>
  <c r="I224" i="1"/>
  <c r="I226" i="1"/>
  <c r="I227" i="1"/>
  <c r="I228" i="1"/>
  <c r="I229" i="1"/>
  <c r="I230" i="1"/>
  <c r="I231" i="1"/>
  <c r="I232" i="1"/>
  <c r="I234" i="1"/>
  <c r="I235" i="1"/>
  <c r="I236" i="1"/>
  <c r="I237" i="1"/>
  <c r="I238" i="1"/>
  <c r="I239" i="1"/>
  <c r="I240" i="1"/>
  <c r="I242" i="1"/>
  <c r="I243" i="1"/>
  <c r="I244" i="1"/>
  <c r="I245" i="1"/>
  <c r="I246" i="1"/>
  <c r="I247" i="1"/>
  <c r="I248" i="1"/>
  <c r="I250" i="1"/>
  <c r="I251" i="1"/>
  <c r="I252" i="1"/>
  <c r="I253" i="1"/>
  <c r="I254" i="1"/>
  <c r="I255" i="1"/>
  <c r="I256" i="1"/>
  <c r="I258" i="1"/>
  <c r="I259" i="1"/>
  <c r="I260" i="1"/>
  <c r="I261" i="1"/>
  <c r="I262" i="1"/>
  <c r="I263" i="1"/>
  <c r="I264" i="1"/>
  <c r="I266" i="1"/>
  <c r="I267" i="1"/>
  <c r="I268" i="1"/>
  <c r="I269" i="1"/>
  <c r="I270" i="1"/>
  <c r="I271" i="1"/>
  <c r="I272" i="1"/>
  <c r="I274" i="1"/>
  <c r="I275" i="1"/>
  <c r="I276" i="1"/>
  <c r="I277" i="1"/>
  <c r="I278" i="1"/>
  <c r="I279" i="1"/>
  <c r="I280" i="1"/>
  <c r="I282" i="1"/>
  <c r="I283" i="1"/>
  <c r="I284" i="1"/>
  <c r="I285" i="1"/>
  <c r="I286" i="1"/>
  <c r="I287" i="1"/>
  <c r="I288" i="1"/>
  <c r="I290" i="1"/>
  <c r="I291" i="1"/>
  <c r="I292" i="1"/>
  <c r="I293" i="1"/>
  <c r="I294" i="1"/>
  <c r="I295" i="1"/>
  <c r="I296" i="1"/>
  <c r="I298" i="1"/>
  <c r="I299" i="1"/>
  <c r="I300" i="1"/>
  <c r="I301" i="1"/>
  <c r="I302" i="1"/>
  <c r="I303" i="1"/>
  <c r="I304" i="1"/>
  <c r="I306" i="1"/>
  <c r="I307" i="1"/>
  <c r="I308" i="1"/>
  <c r="I309" i="1"/>
  <c r="I310" i="1"/>
  <c r="I311" i="1"/>
  <c r="I312" i="1"/>
  <c r="I314" i="1"/>
  <c r="I315" i="1"/>
  <c r="I316" i="1"/>
  <c r="I317" i="1"/>
  <c r="I318" i="1"/>
  <c r="I319" i="1"/>
  <c r="I320" i="1"/>
  <c r="I322" i="1"/>
  <c r="I323" i="1"/>
  <c r="I324" i="1"/>
  <c r="I325" i="1"/>
  <c r="I326" i="1"/>
  <c r="I327" i="1"/>
  <c r="I328" i="1"/>
  <c r="I330" i="1"/>
  <c r="I331" i="1"/>
  <c r="I332" i="1"/>
  <c r="I333" i="1"/>
  <c r="I334" i="1"/>
  <c r="I335" i="1"/>
  <c r="I336" i="1"/>
  <c r="I338" i="1"/>
  <c r="I339" i="1"/>
  <c r="I340" i="1"/>
  <c r="I341" i="1"/>
  <c r="I342" i="1"/>
  <c r="I343" i="1"/>
  <c r="I344" i="1"/>
  <c r="I346" i="1"/>
  <c r="I347" i="1"/>
  <c r="I348" i="1"/>
  <c r="I349" i="1"/>
  <c r="I350" i="1"/>
  <c r="I351" i="1"/>
  <c r="I352" i="1"/>
  <c r="I354" i="1"/>
  <c r="I355" i="1"/>
  <c r="I356" i="1"/>
  <c r="I357" i="1"/>
  <c r="I358" i="1"/>
  <c r="I359" i="1"/>
  <c r="I360" i="1"/>
  <c r="I362" i="1"/>
  <c r="I363" i="1"/>
  <c r="I364" i="1"/>
  <c r="I365" i="1"/>
  <c r="I366" i="1"/>
  <c r="I367" i="1"/>
  <c r="I368" i="1"/>
  <c r="I370" i="1"/>
  <c r="I371" i="1"/>
  <c r="I372" i="1"/>
  <c r="I373" i="1"/>
  <c r="I374" i="1"/>
  <c r="I375" i="1"/>
  <c r="I376" i="1"/>
  <c r="I378" i="1"/>
  <c r="I379" i="1"/>
  <c r="I380" i="1"/>
  <c r="I381" i="1"/>
  <c r="I382" i="1"/>
  <c r="I383" i="1"/>
  <c r="I384" i="1"/>
  <c r="I386" i="1"/>
  <c r="I387" i="1"/>
  <c r="I388" i="1"/>
  <c r="I389" i="1"/>
  <c r="I390" i="1"/>
  <c r="I391" i="1"/>
  <c r="I392" i="1"/>
  <c r="I394" i="1"/>
  <c r="I395" i="1"/>
  <c r="I396" i="1"/>
  <c r="I397" i="1"/>
  <c r="I398" i="1"/>
  <c r="I399" i="1"/>
  <c r="I400" i="1"/>
  <c r="I402" i="1"/>
  <c r="I403" i="1"/>
  <c r="I404" i="1"/>
  <c r="I405" i="1"/>
  <c r="I406" i="1"/>
  <c r="I407" i="1"/>
  <c r="I408" i="1"/>
  <c r="I410" i="1"/>
  <c r="I411" i="1"/>
  <c r="I412" i="1"/>
  <c r="I413" i="1"/>
  <c r="I414" i="1"/>
  <c r="I415" i="1"/>
  <c r="I416" i="1"/>
  <c r="I418" i="1"/>
  <c r="I419" i="1"/>
  <c r="I420" i="1"/>
  <c r="I421" i="1"/>
  <c r="I422" i="1"/>
  <c r="I423" i="1"/>
  <c r="I424" i="1"/>
  <c r="I426" i="1"/>
  <c r="I427" i="1"/>
  <c r="I428" i="1"/>
  <c r="I429" i="1"/>
  <c r="I430" i="1"/>
  <c r="I431" i="1"/>
  <c r="I432" i="1"/>
  <c r="I434" i="1"/>
  <c r="I435" i="1"/>
  <c r="I436" i="1"/>
  <c r="I437" i="1"/>
  <c r="I438" i="1"/>
  <c r="I439" i="1"/>
  <c r="I440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8" i="1"/>
  <c r="I459" i="1"/>
  <c r="I460" i="1"/>
  <c r="I461" i="1"/>
  <c r="I462" i="1"/>
  <c r="I463" i="1"/>
  <c r="I464" i="1"/>
  <c r="I466" i="1"/>
  <c r="I467" i="1"/>
  <c r="I468" i="1"/>
  <c r="I469" i="1"/>
  <c r="I470" i="1"/>
  <c r="I471" i="1"/>
  <c r="I472" i="1"/>
  <c r="I474" i="1"/>
  <c r="I475" i="1"/>
  <c r="I476" i="1"/>
  <c r="I477" i="1"/>
  <c r="I478" i="1"/>
  <c r="I479" i="1"/>
  <c r="I480" i="1"/>
  <c r="I482" i="1"/>
  <c r="I483" i="1"/>
  <c r="I484" i="1"/>
  <c r="I485" i="1"/>
  <c r="I486" i="1"/>
  <c r="I487" i="1"/>
  <c r="I488" i="1"/>
  <c r="I490" i="1"/>
  <c r="I491" i="1"/>
  <c r="I492" i="1"/>
  <c r="I493" i="1"/>
  <c r="I494" i="1"/>
  <c r="I495" i="1"/>
  <c r="I496" i="1"/>
  <c r="I498" i="1"/>
  <c r="I499" i="1"/>
  <c r="I500" i="1"/>
  <c r="I501" i="1"/>
  <c r="I502" i="1"/>
  <c r="I503" i="1"/>
  <c r="I504" i="1"/>
  <c r="I506" i="1"/>
  <c r="I507" i="1"/>
  <c r="I508" i="1"/>
  <c r="I509" i="1"/>
  <c r="I510" i="1"/>
  <c r="I511" i="1"/>
  <c r="I512" i="1"/>
  <c r="I514" i="1"/>
  <c r="I515" i="1"/>
  <c r="I516" i="1"/>
  <c r="I517" i="1"/>
  <c r="I518" i="1"/>
  <c r="I519" i="1"/>
  <c r="I520" i="1"/>
  <c r="I522" i="1"/>
  <c r="I523" i="1"/>
  <c r="I524" i="1"/>
  <c r="I525" i="1"/>
  <c r="I526" i="1"/>
  <c r="I527" i="1"/>
  <c r="I528" i="1"/>
  <c r="I530" i="1"/>
  <c r="I531" i="1"/>
  <c r="I532" i="1"/>
  <c r="I533" i="1"/>
  <c r="I534" i="1"/>
  <c r="I535" i="1"/>
  <c r="I536" i="1"/>
  <c r="I538" i="1"/>
  <c r="I539" i="1"/>
  <c r="I540" i="1"/>
  <c r="I541" i="1"/>
  <c r="I542" i="1"/>
  <c r="I543" i="1"/>
  <c r="I544" i="1"/>
  <c r="I546" i="1"/>
  <c r="I547" i="1"/>
  <c r="I548" i="1"/>
  <c r="I549" i="1"/>
  <c r="I550" i="1"/>
  <c r="I551" i="1"/>
  <c r="I552" i="1"/>
  <c r="I554" i="1"/>
  <c r="I555" i="1"/>
  <c r="I556" i="1"/>
  <c r="I557" i="1"/>
  <c r="I558" i="1"/>
  <c r="I559" i="1"/>
  <c r="I560" i="1"/>
  <c r="I562" i="1"/>
  <c r="I563" i="1"/>
  <c r="I564" i="1"/>
  <c r="I565" i="1"/>
  <c r="I566" i="1"/>
  <c r="I567" i="1"/>
  <c r="I568" i="1"/>
  <c r="I570" i="1"/>
  <c r="I571" i="1"/>
  <c r="I572" i="1"/>
  <c r="I573" i="1"/>
  <c r="I574" i="1"/>
  <c r="I575" i="1"/>
  <c r="I576" i="1"/>
  <c r="I578" i="1"/>
  <c r="I579" i="1"/>
  <c r="I580" i="1"/>
  <c r="I581" i="1"/>
  <c r="I582" i="1"/>
  <c r="I583" i="1"/>
  <c r="I584" i="1"/>
  <c r="I586" i="1"/>
  <c r="I587" i="1"/>
  <c r="I588" i="1"/>
  <c r="I589" i="1"/>
  <c r="I590" i="1"/>
  <c r="I591" i="1"/>
  <c r="I592" i="1"/>
  <c r="I594" i="1"/>
  <c r="I595" i="1"/>
  <c r="I596" i="1"/>
  <c r="I597" i="1"/>
  <c r="I598" i="1"/>
  <c r="I599" i="1"/>
  <c r="I600" i="1"/>
  <c r="I603" i="1"/>
  <c r="I605" i="1"/>
  <c r="I606" i="1"/>
  <c r="I607" i="1"/>
  <c r="I608" i="1"/>
  <c r="I611" i="1"/>
  <c r="I613" i="1"/>
  <c r="I614" i="1"/>
  <c r="I615" i="1"/>
  <c r="I619" i="1"/>
  <c r="I621" i="1"/>
  <c r="I622" i="1"/>
  <c r="I623" i="1"/>
  <c r="I627" i="1"/>
  <c r="I629" i="1"/>
  <c r="I630" i="1"/>
  <c r="I631" i="1"/>
  <c r="I637" i="1"/>
  <c r="I638" i="1"/>
  <c r="I639" i="1"/>
  <c r="I645" i="1"/>
  <c r="I647" i="1"/>
  <c r="I385" i="1"/>
  <c r="I321" i="1"/>
  <c r="I257" i="1"/>
  <c r="I193" i="1"/>
  <c r="I129" i="1"/>
  <c r="I65" i="1"/>
  <c r="I27" i="1"/>
  <c r="I35" i="1"/>
  <c r="I43" i="1"/>
  <c r="I51" i="1"/>
  <c r="I59" i="1"/>
  <c r="I569" i="1"/>
  <c r="I505" i="1"/>
  <c r="I441" i="1"/>
  <c r="I377" i="1"/>
  <c r="I313" i="1"/>
  <c r="I249" i="1"/>
  <c r="I185" i="1"/>
  <c r="I121" i="1"/>
  <c r="I57" i="1"/>
  <c r="I28" i="1"/>
</calcChain>
</file>

<file path=xl/sharedStrings.xml><?xml version="1.0" encoding="utf-8"?>
<sst xmlns="http://schemas.openxmlformats.org/spreadsheetml/2006/main" count="15" uniqueCount="15">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</sst>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5"/>
  <sheetViews>
    <sheetView tabSelected="1" topLeftCell="B1" workbookViewId="0">
      <selection activeCell="K11" sqref="K11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20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Q1" s="2"/>
      <c r="T1" s="2"/>
    </row>
    <row r="2" spans="1:20" x14ac:dyDescent="0.3">
      <c r="A2">
        <v>-118.5</v>
      </c>
      <c r="B2">
        <v>34.25</v>
      </c>
      <c r="C2">
        <v>2025</v>
      </c>
      <c r="D2">
        <v>1</v>
      </c>
      <c r="E2">
        <v>1</v>
      </c>
      <c r="F2">
        <f>Sayfa1!C2-273.15</f>
        <v>19.674218750000023</v>
      </c>
      <c r="G2">
        <v>34.118698120117188</v>
      </c>
      <c r="H2">
        <f>SQRT(Sayfa1!D2^2+Sayfa1!E2^2)</f>
        <v>0.10263965985397078</v>
      </c>
      <c r="I2">
        <v>0</v>
      </c>
    </row>
    <row r="3" spans="1:20" x14ac:dyDescent="0.3">
      <c r="A3">
        <v>-118.5</v>
      </c>
      <c r="B3">
        <v>34.25</v>
      </c>
      <c r="C3">
        <v>2025</v>
      </c>
      <c r="D3">
        <v>1</v>
      </c>
      <c r="E3">
        <v>1</v>
      </c>
      <c r="F3">
        <f>Sayfa1!C3-273.15</f>
        <v>18.645532226562523</v>
      </c>
      <c r="G3">
        <v>42.54248046875</v>
      </c>
      <c r="H3">
        <f>SQRT(Sayfa1!D3^2+Sayfa1!E3^2)</f>
        <v>0.28209067987213643</v>
      </c>
      <c r="I3">
        <v>0</v>
      </c>
    </row>
    <row r="4" spans="1:20" x14ac:dyDescent="0.3">
      <c r="A4">
        <v>-118.5</v>
      </c>
      <c r="B4">
        <v>34.25</v>
      </c>
      <c r="C4">
        <v>2025</v>
      </c>
      <c r="D4">
        <v>1</v>
      </c>
      <c r="E4">
        <v>1</v>
      </c>
      <c r="F4">
        <f>Sayfa1!C4-273.15</f>
        <v>18.284082031250023</v>
      </c>
      <c r="G4">
        <v>49.931365966796875</v>
      </c>
      <c r="H4">
        <f>SQRT(Sayfa1!D4^2+Sayfa1!E4^2)</f>
        <v>0.63230992617710846</v>
      </c>
      <c r="I4">
        <v>0</v>
      </c>
    </row>
    <row r="5" spans="1:20" x14ac:dyDescent="0.3">
      <c r="A5">
        <v>-118.5</v>
      </c>
      <c r="B5">
        <v>34.25</v>
      </c>
      <c r="C5">
        <v>2025</v>
      </c>
      <c r="D5">
        <v>1</v>
      </c>
      <c r="E5">
        <v>1</v>
      </c>
      <c r="F5">
        <f>Sayfa1!C5-273.15</f>
        <v>18.329370117187523</v>
      </c>
      <c r="G5">
        <v>55.296310424804688</v>
      </c>
      <c r="H5">
        <f>SQRT(Sayfa1!D5^2+Sayfa1!E5^2)</f>
        <v>1.4442541611587916</v>
      </c>
      <c r="I5">
        <v>0</v>
      </c>
    </row>
    <row r="6" spans="1:20" x14ac:dyDescent="0.3">
      <c r="A6">
        <v>-118.5</v>
      </c>
      <c r="B6">
        <v>34.25</v>
      </c>
      <c r="C6">
        <v>2025</v>
      </c>
      <c r="D6">
        <v>1</v>
      </c>
      <c r="E6">
        <v>1</v>
      </c>
      <c r="F6">
        <f>Sayfa1!C6-273.15</f>
        <v>18.123437500000023</v>
      </c>
      <c r="G6">
        <v>60.23394775390625</v>
      </c>
      <c r="H6">
        <f>SQRT(Sayfa1!D6^2+Sayfa1!E6^2)</f>
        <v>2.3054244451832937</v>
      </c>
      <c r="I6">
        <v>0</v>
      </c>
    </row>
    <row r="7" spans="1:20" x14ac:dyDescent="0.3">
      <c r="A7">
        <v>-118.5</v>
      </c>
      <c r="B7">
        <v>34.25</v>
      </c>
      <c r="C7">
        <v>2025</v>
      </c>
      <c r="D7">
        <v>1</v>
      </c>
      <c r="E7">
        <v>1</v>
      </c>
      <c r="F7">
        <f>Sayfa1!C7-273.15</f>
        <v>17.921899414062523</v>
      </c>
      <c r="G7">
        <v>62.787384033203125</v>
      </c>
      <c r="H7">
        <f>SQRT(Sayfa1!D7^2+Sayfa1!E7^2)</f>
        <v>2.5431464164042734</v>
      </c>
      <c r="I7">
        <v>0</v>
      </c>
    </row>
    <row r="8" spans="1:20" x14ac:dyDescent="0.3">
      <c r="A8">
        <v>-118.5</v>
      </c>
      <c r="B8">
        <v>34.25</v>
      </c>
      <c r="C8">
        <v>2025</v>
      </c>
      <c r="D8">
        <v>1</v>
      </c>
      <c r="E8">
        <v>1</v>
      </c>
      <c r="F8">
        <f>Sayfa1!C8-273.15</f>
        <v>17.789331054687523</v>
      </c>
      <c r="G8">
        <v>62.374557495117188</v>
      </c>
      <c r="H8">
        <f>SQRT(Sayfa1!D8^2+Sayfa1!E8^2)</f>
        <v>2.5701499943484167</v>
      </c>
      <c r="I8">
        <v>0</v>
      </c>
    </row>
    <row r="9" spans="1:20" x14ac:dyDescent="0.3">
      <c r="A9">
        <v>-118.5</v>
      </c>
      <c r="B9">
        <v>34.25</v>
      </c>
      <c r="C9">
        <v>2025</v>
      </c>
      <c r="D9">
        <v>1</v>
      </c>
      <c r="E9">
        <v>1</v>
      </c>
      <c r="F9">
        <f>Sayfa1!C9-273.15</f>
        <v>17.645166015625023</v>
      </c>
      <c r="G9">
        <v>64.202407836914063</v>
      </c>
      <c r="H9">
        <f>SQRT(Sayfa1!D9^2+Sayfa1!E9^2)</f>
        <v>2.602362326602516</v>
      </c>
      <c r="I9">
        <v>0</v>
      </c>
    </row>
    <row r="10" spans="1:20" x14ac:dyDescent="0.3">
      <c r="A10">
        <v>-118.5</v>
      </c>
      <c r="B10">
        <v>34.25</v>
      </c>
      <c r="C10">
        <v>2025</v>
      </c>
      <c r="D10">
        <v>1</v>
      </c>
      <c r="E10">
        <v>1</v>
      </c>
      <c r="F10">
        <f>Sayfa1!C10-273.15</f>
        <v>17.575341796875023</v>
      </c>
      <c r="G10">
        <v>65.459274291992188</v>
      </c>
      <c r="H10">
        <f>SQRT(Sayfa1!D10^2+Sayfa1!E10^2)</f>
        <v>2.5948435398447884</v>
      </c>
      <c r="I10">
        <v>0</v>
      </c>
    </row>
    <row r="11" spans="1:20" x14ac:dyDescent="0.3">
      <c r="A11">
        <v>-118.5</v>
      </c>
      <c r="B11">
        <v>34.25</v>
      </c>
      <c r="C11">
        <v>2025</v>
      </c>
      <c r="D11">
        <v>1</v>
      </c>
      <c r="E11">
        <v>1</v>
      </c>
      <c r="F11">
        <f>Sayfa1!C11-273.15</f>
        <v>17.706689453125023</v>
      </c>
      <c r="G11">
        <v>64.596435546875</v>
      </c>
      <c r="H11">
        <f>SQRT(Sayfa1!D11^2+Sayfa1!E11^2)</f>
        <v>2.5059494449193225</v>
      </c>
      <c r="I11">
        <v>0</v>
      </c>
    </row>
    <row r="12" spans="1:20" x14ac:dyDescent="0.3">
      <c r="A12">
        <v>-118.5</v>
      </c>
      <c r="B12">
        <v>34.25</v>
      </c>
      <c r="C12">
        <v>2025</v>
      </c>
      <c r="D12">
        <v>1</v>
      </c>
      <c r="E12">
        <v>1</v>
      </c>
      <c r="F12">
        <f>Sayfa1!C12-273.15</f>
        <v>16.735742187500023</v>
      </c>
      <c r="G12">
        <v>67.452560424804688</v>
      </c>
      <c r="H12">
        <f>SQRT(Sayfa1!D12^2+Sayfa1!E12^2)</f>
        <v>2.6061325423788153</v>
      </c>
      <c r="I12">
        <v>0</v>
      </c>
    </row>
    <row r="13" spans="1:20" x14ac:dyDescent="0.3">
      <c r="A13">
        <v>-118.5</v>
      </c>
      <c r="B13">
        <v>34.25</v>
      </c>
      <c r="C13">
        <v>2025</v>
      </c>
      <c r="D13">
        <v>1</v>
      </c>
      <c r="E13">
        <v>1</v>
      </c>
      <c r="F13">
        <f>Sayfa1!C13-273.15</f>
        <v>16.761376953125023</v>
      </c>
      <c r="G13">
        <v>63.98321533203125</v>
      </c>
      <c r="H13">
        <f>SQRT(Sayfa1!D13^2+Sayfa1!E13^2)</f>
        <v>2.4916143692583357</v>
      </c>
      <c r="I13">
        <v>0</v>
      </c>
    </row>
    <row r="14" spans="1:20" x14ac:dyDescent="0.3">
      <c r="A14">
        <v>-118.5</v>
      </c>
      <c r="B14">
        <v>34.25</v>
      </c>
      <c r="C14">
        <v>2025</v>
      </c>
      <c r="D14">
        <v>1</v>
      </c>
      <c r="E14">
        <v>1</v>
      </c>
      <c r="F14">
        <f>Sayfa1!C14-273.15</f>
        <v>17.196679687500023</v>
      </c>
      <c r="G14">
        <v>64.102325439453125</v>
      </c>
      <c r="H14">
        <f>SQRT(Sayfa1!D14^2+Sayfa1!E14^2)</f>
        <v>2.7021959100822817</v>
      </c>
      <c r="I14">
        <v>0</v>
      </c>
    </row>
    <row r="15" spans="1:20" x14ac:dyDescent="0.3">
      <c r="A15">
        <v>-118.5</v>
      </c>
      <c r="B15">
        <v>34.25</v>
      </c>
      <c r="C15">
        <v>2025</v>
      </c>
      <c r="D15">
        <v>1</v>
      </c>
      <c r="E15">
        <v>1</v>
      </c>
      <c r="F15">
        <f>Sayfa1!C15-273.15</f>
        <v>17.527490234375023</v>
      </c>
      <c r="G15">
        <v>64.871109008789063</v>
      </c>
      <c r="H15">
        <f>SQRT(Sayfa1!D15^2+Sayfa1!E15^2)</f>
        <v>2.7738203511466932</v>
      </c>
      <c r="I15">
        <v>0</v>
      </c>
    </row>
    <row r="16" spans="1:20" x14ac:dyDescent="0.3">
      <c r="A16">
        <v>-118.5</v>
      </c>
      <c r="B16">
        <v>34.25</v>
      </c>
      <c r="C16">
        <v>2025</v>
      </c>
      <c r="D16">
        <v>1</v>
      </c>
      <c r="E16">
        <v>1</v>
      </c>
      <c r="F16">
        <f>Sayfa1!C16-273.15</f>
        <v>18.056298828125023</v>
      </c>
      <c r="G16">
        <v>65.202850341796875</v>
      </c>
      <c r="H16">
        <f>SQRT(Sayfa1!D16^2+Sayfa1!E16^2)</f>
        <v>2.8250957390125557</v>
      </c>
      <c r="I16">
        <v>0</v>
      </c>
    </row>
    <row r="17" spans="1:9" x14ac:dyDescent="0.3">
      <c r="A17">
        <v>-118.5</v>
      </c>
      <c r="B17">
        <v>34.25</v>
      </c>
      <c r="C17">
        <v>2025</v>
      </c>
      <c r="D17">
        <v>1</v>
      </c>
      <c r="E17">
        <v>1</v>
      </c>
      <c r="F17">
        <f>Sayfa1!C17-273.15</f>
        <v>18.362695312500023</v>
      </c>
      <c r="G17">
        <v>64.539566040039063</v>
      </c>
      <c r="H17">
        <f>SQRT(Sayfa1!D17^2+Sayfa1!E17^2)</f>
        <v>2.8594203255938857</v>
      </c>
      <c r="I17">
        <v>0</v>
      </c>
    </row>
    <row r="18" spans="1:9" x14ac:dyDescent="0.3">
      <c r="A18">
        <v>-118.5</v>
      </c>
      <c r="B18">
        <v>34.25</v>
      </c>
      <c r="C18">
        <v>2025</v>
      </c>
      <c r="D18">
        <v>1</v>
      </c>
      <c r="E18">
        <v>1</v>
      </c>
      <c r="F18">
        <f>Sayfa1!C18-273.15</f>
        <v>18.259423828125023</v>
      </c>
      <c r="G18">
        <v>60.415328979492188</v>
      </c>
      <c r="H18">
        <f>SQRT(Sayfa1!D18^2+Sayfa1!E18^2)</f>
        <v>2.7061293268011273</v>
      </c>
      <c r="I18">
        <v>0</v>
      </c>
    </row>
    <row r="19" spans="1:9" x14ac:dyDescent="0.3">
      <c r="A19">
        <v>-118.5</v>
      </c>
      <c r="B19">
        <v>34.25</v>
      </c>
      <c r="C19">
        <v>2025</v>
      </c>
      <c r="D19">
        <v>1</v>
      </c>
      <c r="E19">
        <v>1</v>
      </c>
      <c r="F19">
        <f>Sayfa1!C19-273.15</f>
        <v>18.059106445312523</v>
      </c>
      <c r="G19">
        <v>47.555068969726563</v>
      </c>
      <c r="H19">
        <f>SQRT(Sayfa1!D19^2+Sayfa1!E19^2)</f>
        <v>2.3203254404935363</v>
      </c>
      <c r="I19">
        <v>0</v>
      </c>
    </row>
    <row r="20" spans="1:9" x14ac:dyDescent="0.3">
      <c r="A20">
        <v>-118.5</v>
      </c>
      <c r="B20">
        <v>34.25</v>
      </c>
      <c r="C20">
        <v>2025</v>
      </c>
      <c r="D20">
        <v>1</v>
      </c>
      <c r="E20">
        <v>1</v>
      </c>
      <c r="F20">
        <f>Sayfa1!C20-273.15</f>
        <v>17.646997070312523</v>
      </c>
      <c r="G20">
        <v>34.208480834960938</v>
      </c>
      <c r="H20">
        <f>SQRT(Sayfa1!D20^2+Sayfa1!E20^2)</f>
        <v>1.8163707768785993</v>
      </c>
      <c r="I20">
        <v>0</v>
      </c>
    </row>
    <row r="21" spans="1:9" x14ac:dyDescent="0.3">
      <c r="A21">
        <v>-118.5</v>
      </c>
      <c r="B21">
        <v>34.25</v>
      </c>
      <c r="C21">
        <v>2025</v>
      </c>
      <c r="D21">
        <v>1</v>
      </c>
      <c r="E21">
        <v>1</v>
      </c>
      <c r="F21">
        <f>Sayfa1!C21-273.15</f>
        <v>19.551782226562523</v>
      </c>
      <c r="G21">
        <v>25.764846801757813</v>
      </c>
      <c r="H21">
        <f>SQRT(Sayfa1!D21^2+Sayfa1!E21^2)</f>
        <v>1.3594993179575359</v>
      </c>
      <c r="I21">
        <v>0</v>
      </c>
    </row>
    <row r="22" spans="1:9" x14ac:dyDescent="0.3">
      <c r="A22">
        <v>-118.5</v>
      </c>
      <c r="B22">
        <v>34.25</v>
      </c>
      <c r="C22">
        <v>2025</v>
      </c>
      <c r="D22">
        <v>1</v>
      </c>
      <c r="E22">
        <v>1</v>
      </c>
      <c r="F22">
        <f>Sayfa1!C22-273.15</f>
        <v>21.313378906250023</v>
      </c>
      <c r="G22">
        <v>22.035182952880859</v>
      </c>
      <c r="H22">
        <f>SQRT(Sayfa1!D22^2+Sayfa1!E22^2)</f>
        <v>0.83696020064821042</v>
      </c>
      <c r="I22">
        <v>0</v>
      </c>
    </row>
    <row r="23" spans="1:9" x14ac:dyDescent="0.3">
      <c r="A23">
        <v>-118.5</v>
      </c>
      <c r="B23">
        <v>34.25</v>
      </c>
      <c r="C23">
        <v>2025</v>
      </c>
      <c r="D23">
        <v>1</v>
      </c>
      <c r="E23">
        <v>1</v>
      </c>
      <c r="F23">
        <f>Sayfa1!C23-273.15</f>
        <v>22.437890625000023</v>
      </c>
      <c r="G23">
        <v>19.31791877746582</v>
      </c>
      <c r="H23">
        <f>SQRT(Sayfa1!D23^2+Sayfa1!E23^2)</f>
        <v>0.43658089552962726</v>
      </c>
      <c r="I23">
        <v>0</v>
      </c>
    </row>
    <row r="24" spans="1:9" x14ac:dyDescent="0.3">
      <c r="A24">
        <v>-118.5</v>
      </c>
      <c r="B24">
        <v>34.25</v>
      </c>
      <c r="C24">
        <v>2025</v>
      </c>
      <c r="D24">
        <v>1</v>
      </c>
      <c r="E24">
        <v>1</v>
      </c>
      <c r="F24">
        <f>Sayfa1!C24-273.15</f>
        <v>21.352441406250023</v>
      </c>
      <c r="G24">
        <v>21.964244842529297</v>
      </c>
      <c r="H24">
        <f>SQRT(Sayfa1!D24^2+Sayfa1!E24^2)</f>
        <v>0.51272922698882883</v>
      </c>
      <c r="I24">
        <v>0</v>
      </c>
    </row>
    <row r="25" spans="1:9" x14ac:dyDescent="0.3">
      <c r="A25">
        <v>-118.5</v>
      </c>
      <c r="B25">
        <v>34.25</v>
      </c>
      <c r="C25">
        <v>2025</v>
      </c>
      <c r="D25">
        <v>1</v>
      </c>
      <c r="E25">
        <v>1</v>
      </c>
      <c r="F25">
        <f>Sayfa1!C25-273.15</f>
        <v>21.775781250000023</v>
      </c>
      <c r="G25">
        <v>22.146717071533203</v>
      </c>
      <c r="H25">
        <f>SQRT(Sayfa1!D25^2+Sayfa1!E25^2)</f>
        <v>0.45630387991756466</v>
      </c>
      <c r="I25">
        <f>SUM(Sayfa1!G2:G25)</f>
        <v>0</v>
      </c>
    </row>
    <row r="26" spans="1:9" x14ac:dyDescent="0.3">
      <c r="A26">
        <v>-118.5</v>
      </c>
      <c r="B26">
        <v>34.25</v>
      </c>
      <c r="C26">
        <v>2025</v>
      </c>
      <c r="D26">
        <v>1</v>
      </c>
      <c r="E26">
        <v>2</v>
      </c>
      <c r="F26">
        <f>Sayfa1!C26-273.15</f>
        <v>21.598535156250023</v>
      </c>
      <c r="G26">
        <v>25.461807250976563</v>
      </c>
      <c r="H26">
        <f>SQRT(Sayfa1!D26^2+Sayfa1!E26^2)</f>
        <v>0.98431742235798092</v>
      </c>
      <c r="I26">
        <f>SUM(Sayfa1!G3:G26)</f>
        <v>0</v>
      </c>
    </row>
    <row r="27" spans="1:9" x14ac:dyDescent="0.3">
      <c r="A27">
        <v>-118.5</v>
      </c>
      <c r="B27">
        <v>34.25</v>
      </c>
      <c r="C27">
        <v>2025</v>
      </c>
      <c r="D27">
        <v>1</v>
      </c>
      <c r="E27">
        <v>2</v>
      </c>
      <c r="F27">
        <f>Sayfa1!C27-273.15</f>
        <v>21.369531250000023</v>
      </c>
      <c r="G27">
        <v>31.984878540039063</v>
      </c>
      <c r="H27">
        <f>SQRT(Sayfa1!D27^2+Sayfa1!E27^2)</f>
        <v>0.6990585063612208</v>
      </c>
      <c r="I27">
        <f>SUM(Sayfa1!G4:G27)</f>
        <v>0</v>
      </c>
    </row>
    <row r="28" spans="1:9" x14ac:dyDescent="0.3">
      <c r="A28">
        <v>-118.5</v>
      </c>
      <c r="B28">
        <v>34.25</v>
      </c>
      <c r="C28">
        <v>2025</v>
      </c>
      <c r="D28">
        <v>1</v>
      </c>
      <c r="E28">
        <v>2</v>
      </c>
      <c r="F28">
        <f>Sayfa1!C28-273.15</f>
        <v>21.467675781250023</v>
      </c>
      <c r="G28">
        <v>36.096588134765625</v>
      </c>
      <c r="H28">
        <f>SQRT(Sayfa1!D28^2+Sayfa1!E28^2)</f>
        <v>0.76677914646076406</v>
      </c>
      <c r="I28">
        <f>SUM(Sayfa1!G5:G28)</f>
        <v>0</v>
      </c>
    </row>
    <row r="29" spans="1:9" x14ac:dyDescent="0.3">
      <c r="A29">
        <v>-118.5</v>
      </c>
      <c r="B29">
        <v>34.25</v>
      </c>
      <c r="C29">
        <v>2025</v>
      </c>
      <c r="D29">
        <v>1</v>
      </c>
      <c r="E29">
        <v>2</v>
      </c>
      <c r="F29">
        <f>Sayfa1!C29-273.15</f>
        <v>21.599389648437523</v>
      </c>
      <c r="G29">
        <v>37.812179565429688</v>
      </c>
      <c r="H29">
        <f>SQRT(Sayfa1!D29^2+Sayfa1!E29^2)</f>
        <v>1.6210403919056136</v>
      </c>
      <c r="I29">
        <f>SUM(Sayfa1!G6:G29)</f>
        <v>0</v>
      </c>
    </row>
    <row r="30" spans="1:9" x14ac:dyDescent="0.3">
      <c r="A30">
        <v>-118.5</v>
      </c>
      <c r="B30">
        <v>34.25</v>
      </c>
      <c r="C30">
        <v>2025</v>
      </c>
      <c r="D30">
        <v>1</v>
      </c>
      <c r="E30">
        <v>2</v>
      </c>
      <c r="F30">
        <f>Sayfa1!C30-273.15</f>
        <v>21.543603515625023</v>
      </c>
      <c r="G30">
        <v>39.39312744140625</v>
      </c>
      <c r="H30">
        <f>SQRT(Sayfa1!D30^2+Sayfa1!E30^2)</f>
        <v>2.2019229943213015</v>
      </c>
      <c r="I30">
        <f>SUM(Sayfa1!G7:G30)</f>
        <v>0</v>
      </c>
    </row>
    <row r="31" spans="1:9" x14ac:dyDescent="0.3">
      <c r="A31">
        <v>-118.5</v>
      </c>
      <c r="B31">
        <v>34.25</v>
      </c>
      <c r="C31">
        <v>2025</v>
      </c>
      <c r="D31">
        <v>1</v>
      </c>
      <c r="E31">
        <v>2</v>
      </c>
      <c r="F31">
        <f>Sayfa1!C31-273.15</f>
        <v>21.355249023437523</v>
      </c>
      <c r="G31">
        <v>44.21331787109375</v>
      </c>
      <c r="H31">
        <f>SQRT(Sayfa1!D31^2+Sayfa1!E31^2)</f>
        <v>2.491294392371485</v>
      </c>
      <c r="I31">
        <f>SUM(Sayfa1!G8:G31)</f>
        <v>0</v>
      </c>
    </row>
    <row r="32" spans="1:9" x14ac:dyDescent="0.3">
      <c r="A32">
        <v>-118.5</v>
      </c>
      <c r="B32">
        <v>34.25</v>
      </c>
      <c r="C32">
        <v>2025</v>
      </c>
      <c r="D32">
        <v>1</v>
      </c>
      <c r="E32">
        <v>2</v>
      </c>
      <c r="F32">
        <f>Sayfa1!C32-273.15</f>
        <v>21.011987304687523</v>
      </c>
      <c r="G32">
        <v>53.091934204101563</v>
      </c>
      <c r="H32">
        <f>SQRT(Sayfa1!D32^2+Sayfa1!E32^2)</f>
        <v>2.5298436205406669</v>
      </c>
      <c r="I32">
        <f>SUM(Sayfa1!G9:G32)</f>
        <v>0</v>
      </c>
    </row>
    <row r="33" spans="1:9" x14ac:dyDescent="0.3">
      <c r="A33">
        <v>-118.5</v>
      </c>
      <c r="B33">
        <v>34.25</v>
      </c>
      <c r="C33">
        <v>2025</v>
      </c>
      <c r="D33">
        <v>1</v>
      </c>
      <c r="E33">
        <v>2</v>
      </c>
      <c r="F33">
        <f>Sayfa1!C33-273.15</f>
        <v>20.835595703125023</v>
      </c>
      <c r="G33">
        <v>61.276809692382813</v>
      </c>
      <c r="H33">
        <f>SQRT(Sayfa1!D33^2+Sayfa1!E33^2)</f>
        <v>2.4503895615400255</v>
      </c>
      <c r="I33">
        <f>SUM(Sayfa1!G10:G33)</f>
        <v>0</v>
      </c>
    </row>
    <row r="34" spans="1:9" x14ac:dyDescent="0.3">
      <c r="A34">
        <v>-118.5</v>
      </c>
      <c r="B34">
        <v>34.25</v>
      </c>
      <c r="C34">
        <v>2025</v>
      </c>
      <c r="D34">
        <v>1</v>
      </c>
      <c r="E34">
        <v>2</v>
      </c>
      <c r="F34">
        <f>Sayfa1!C34-273.15</f>
        <v>20.966210937500023</v>
      </c>
      <c r="G34">
        <v>67.036972045898438</v>
      </c>
      <c r="H34">
        <f>SQRT(Sayfa1!D34^2+Sayfa1!E34^2)</f>
        <v>2.4460106299563096</v>
      </c>
      <c r="I34">
        <f>SUM(Sayfa1!G11:G34)</f>
        <v>0</v>
      </c>
    </row>
    <row r="35" spans="1:9" x14ac:dyDescent="0.3">
      <c r="A35">
        <v>-118.5</v>
      </c>
      <c r="B35">
        <v>34.25</v>
      </c>
      <c r="C35">
        <v>2025</v>
      </c>
      <c r="D35">
        <v>1</v>
      </c>
      <c r="E35">
        <v>2</v>
      </c>
      <c r="F35">
        <f>Sayfa1!C35-273.15</f>
        <v>21.016259765625023</v>
      </c>
      <c r="G35">
        <v>69.837600708007813</v>
      </c>
      <c r="H35">
        <f>SQRT(Sayfa1!D35^2+Sayfa1!E35^2)</f>
        <v>2.4661664895868411</v>
      </c>
      <c r="I35">
        <f>SUM(Sayfa1!G12:G35)</f>
        <v>0</v>
      </c>
    </row>
    <row r="36" spans="1:9" x14ac:dyDescent="0.3">
      <c r="A36">
        <v>-118.5</v>
      </c>
      <c r="B36">
        <v>34.25</v>
      </c>
      <c r="C36">
        <v>2025</v>
      </c>
      <c r="D36">
        <v>1</v>
      </c>
      <c r="E36">
        <v>2</v>
      </c>
      <c r="F36">
        <f>Sayfa1!C36-273.15</f>
        <v>20.289208984375023</v>
      </c>
      <c r="G36">
        <v>60.829193115234375</v>
      </c>
      <c r="H36">
        <f>SQRT(Sayfa1!D36^2+Sayfa1!E36^2)</f>
        <v>2.6809600594134926</v>
      </c>
      <c r="I36">
        <f>SUM(Sayfa1!G13:G36)</f>
        <v>0</v>
      </c>
    </row>
    <row r="37" spans="1:9" x14ac:dyDescent="0.3">
      <c r="A37">
        <v>-118.5</v>
      </c>
      <c r="B37">
        <v>34.25</v>
      </c>
      <c r="C37">
        <v>2025</v>
      </c>
      <c r="D37">
        <v>1</v>
      </c>
      <c r="E37">
        <v>2</v>
      </c>
      <c r="F37">
        <f>Sayfa1!C37-273.15</f>
        <v>20.307763671875023</v>
      </c>
      <c r="G37">
        <v>58.79742431640625</v>
      </c>
      <c r="H37">
        <f>SQRT(Sayfa1!D37^2+Sayfa1!E37^2)</f>
        <v>2.8281873395556909</v>
      </c>
      <c r="I37">
        <f>SUM(Sayfa1!G14:G37)</f>
        <v>0</v>
      </c>
    </row>
    <row r="38" spans="1:9" x14ac:dyDescent="0.3">
      <c r="A38">
        <v>-118.5</v>
      </c>
      <c r="B38">
        <v>34.25</v>
      </c>
      <c r="C38">
        <v>2025</v>
      </c>
      <c r="D38">
        <v>1</v>
      </c>
      <c r="E38">
        <v>2</v>
      </c>
      <c r="F38">
        <f>Sayfa1!C38-273.15</f>
        <v>20.312890625000023</v>
      </c>
      <c r="G38">
        <v>58.973770141601563</v>
      </c>
      <c r="H38">
        <f>SQRT(Sayfa1!D38^2+Sayfa1!E38^2)</f>
        <v>2.8570945416832618</v>
      </c>
      <c r="I38">
        <f>SUM(Sayfa1!G15:G38)</f>
        <v>0</v>
      </c>
    </row>
    <row r="39" spans="1:9" x14ac:dyDescent="0.3">
      <c r="A39">
        <v>-118.5</v>
      </c>
      <c r="B39">
        <v>34.25</v>
      </c>
      <c r="C39">
        <v>2025</v>
      </c>
      <c r="D39">
        <v>1</v>
      </c>
      <c r="E39">
        <v>2</v>
      </c>
      <c r="F39">
        <f>Sayfa1!C39-273.15</f>
        <v>20.254418945312523</v>
      </c>
      <c r="G39">
        <v>59.913360595703125</v>
      </c>
      <c r="H39">
        <f>SQRT(Sayfa1!D39^2+Sayfa1!E39^2)</f>
        <v>2.8666357742589565</v>
      </c>
      <c r="I39">
        <f>SUM(Sayfa1!G16:G39)</f>
        <v>0</v>
      </c>
    </row>
    <row r="40" spans="1:9" x14ac:dyDescent="0.3">
      <c r="A40">
        <v>-118.5</v>
      </c>
      <c r="B40">
        <v>34.25</v>
      </c>
      <c r="C40">
        <v>2025</v>
      </c>
      <c r="D40">
        <v>1</v>
      </c>
      <c r="E40">
        <v>2</v>
      </c>
      <c r="F40">
        <f>Sayfa1!C40-273.15</f>
        <v>20.021997070312523</v>
      </c>
      <c r="G40">
        <v>61.565765380859375</v>
      </c>
      <c r="H40">
        <f>SQRT(Sayfa1!D40^2+Sayfa1!E40^2)</f>
        <v>2.8604419268829373</v>
      </c>
      <c r="I40">
        <f>SUM(Sayfa1!G17:G40)</f>
        <v>0</v>
      </c>
    </row>
    <row r="41" spans="1:9" x14ac:dyDescent="0.3">
      <c r="A41">
        <v>-118.5</v>
      </c>
      <c r="B41">
        <v>34.25</v>
      </c>
      <c r="C41">
        <v>2025</v>
      </c>
      <c r="D41">
        <v>1</v>
      </c>
      <c r="E41">
        <v>2</v>
      </c>
      <c r="F41">
        <f>Sayfa1!C41-273.15</f>
        <v>19.864404296875023</v>
      </c>
      <c r="G41">
        <v>62.399932861328125</v>
      </c>
      <c r="H41">
        <f>SQRT(Sayfa1!D41^2+Sayfa1!E41^2)</f>
        <v>2.8622593152957507</v>
      </c>
      <c r="I41">
        <f>SUM(Sayfa1!G18:G41)</f>
        <v>0</v>
      </c>
    </row>
    <row r="42" spans="1:9" x14ac:dyDescent="0.3">
      <c r="A42">
        <v>-118.5</v>
      </c>
      <c r="B42">
        <v>34.25</v>
      </c>
      <c r="C42">
        <v>2025</v>
      </c>
      <c r="D42">
        <v>1</v>
      </c>
      <c r="E42">
        <v>2</v>
      </c>
      <c r="F42">
        <f>Sayfa1!C42-273.15</f>
        <v>19.653344726562523</v>
      </c>
      <c r="G42">
        <v>58.978683471679688</v>
      </c>
      <c r="H42">
        <f>SQRT(Sayfa1!D42^2+Sayfa1!E42^2)</f>
        <v>2.6042900853167237</v>
      </c>
      <c r="I42">
        <f>SUM(Sayfa1!G19:G42)</f>
        <v>0</v>
      </c>
    </row>
    <row r="43" spans="1:9" x14ac:dyDescent="0.3">
      <c r="A43">
        <v>-118.5</v>
      </c>
      <c r="B43">
        <v>34.25</v>
      </c>
      <c r="C43">
        <v>2025</v>
      </c>
      <c r="D43">
        <v>1</v>
      </c>
      <c r="E43">
        <v>2</v>
      </c>
      <c r="F43">
        <f>Sayfa1!C43-273.15</f>
        <v>19.525903320312523</v>
      </c>
      <c r="G43">
        <v>47.386821746826172</v>
      </c>
      <c r="H43">
        <f>SQRT(Sayfa1!D43^2+Sayfa1!E43^2)</f>
        <v>2.1839074055528997</v>
      </c>
      <c r="I43">
        <f>SUM(Sayfa1!G20:G43)</f>
        <v>0</v>
      </c>
    </row>
    <row r="44" spans="1:9" x14ac:dyDescent="0.3">
      <c r="A44">
        <v>-118.5</v>
      </c>
      <c r="B44">
        <v>34.25</v>
      </c>
      <c r="C44">
        <v>2025</v>
      </c>
      <c r="D44">
        <v>1</v>
      </c>
      <c r="E44">
        <v>2</v>
      </c>
      <c r="F44">
        <f>Sayfa1!C44-273.15</f>
        <v>19.519067382812523</v>
      </c>
      <c r="G44">
        <v>31.748641967773438</v>
      </c>
      <c r="H44">
        <f>SQRT(Sayfa1!D44^2+Sayfa1!E44^2)</f>
        <v>2.0915742539413857</v>
      </c>
      <c r="I44">
        <f>SUM(Sayfa1!G21:G44)</f>
        <v>0</v>
      </c>
    </row>
    <row r="45" spans="1:9" x14ac:dyDescent="0.3">
      <c r="A45">
        <v>-118.5</v>
      </c>
      <c r="B45">
        <v>34.25</v>
      </c>
      <c r="C45">
        <v>2025</v>
      </c>
      <c r="D45">
        <v>1</v>
      </c>
      <c r="E45">
        <v>2</v>
      </c>
      <c r="F45">
        <f>Sayfa1!C45-273.15</f>
        <v>20.926904296875023</v>
      </c>
      <c r="G45">
        <v>20.769100189208984</v>
      </c>
      <c r="H45">
        <f>SQRT(Sayfa1!D45^2+Sayfa1!E45^2)</f>
        <v>2.13080699837271</v>
      </c>
      <c r="I45">
        <f>SUM(Sayfa1!G22:G45)</f>
        <v>0</v>
      </c>
    </row>
    <row r="46" spans="1:9" x14ac:dyDescent="0.3">
      <c r="A46">
        <v>-118.5</v>
      </c>
      <c r="B46">
        <v>34.25</v>
      </c>
      <c r="C46">
        <v>2025</v>
      </c>
      <c r="D46">
        <v>1</v>
      </c>
      <c r="E46">
        <v>2</v>
      </c>
      <c r="F46">
        <f>Sayfa1!C46-273.15</f>
        <v>22.839624023437523</v>
      </c>
      <c r="G46">
        <v>16.381181716918945</v>
      </c>
      <c r="H46">
        <f>SQRT(Sayfa1!D46^2+Sayfa1!E46^2)</f>
        <v>1.9889130202827996</v>
      </c>
      <c r="I46">
        <f>SUM(Sayfa1!G23:G46)</f>
        <v>0</v>
      </c>
    </row>
    <row r="47" spans="1:9" x14ac:dyDescent="0.3">
      <c r="A47">
        <v>-118.5</v>
      </c>
      <c r="B47">
        <v>34.25</v>
      </c>
      <c r="C47">
        <v>2025</v>
      </c>
      <c r="D47">
        <v>1</v>
      </c>
      <c r="E47">
        <v>2</v>
      </c>
      <c r="F47">
        <f>Sayfa1!C47-273.15</f>
        <v>24.057275390625023</v>
      </c>
      <c r="G47">
        <v>14.424871444702148</v>
      </c>
      <c r="H47">
        <f>SQRT(Sayfa1!D47^2+Sayfa1!E47^2)</f>
        <v>1.7741878966484848</v>
      </c>
      <c r="I47">
        <f>SUM(Sayfa1!G24:G47)</f>
        <v>0</v>
      </c>
    </row>
    <row r="48" spans="1:9" x14ac:dyDescent="0.3">
      <c r="A48">
        <v>-118.5</v>
      </c>
      <c r="B48">
        <v>34.25</v>
      </c>
      <c r="C48">
        <v>2025</v>
      </c>
      <c r="D48">
        <v>1</v>
      </c>
      <c r="E48">
        <v>2</v>
      </c>
      <c r="F48">
        <f>Sayfa1!C48-273.15</f>
        <v>24.060449218750023</v>
      </c>
      <c r="G48">
        <v>16.353338241577148</v>
      </c>
      <c r="H48">
        <f>SQRT(Sayfa1!D48^2+Sayfa1!E48^2)</f>
        <v>1.3329490653042451</v>
      </c>
      <c r="I48">
        <f>SUM(Sayfa1!G25:G48)</f>
        <v>0</v>
      </c>
    </row>
    <row r="49" spans="1:9" x14ac:dyDescent="0.3">
      <c r="A49">
        <v>-118.5</v>
      </c>
      <c r="B49">
        <v>34.25</v>
      </c>
      <c r="C49">
        <v>2025</v>
      </c>
      <c r="D49">
        <v>1</v>
      </c>
      <c r="E49">
        <v>2</v>
      </c>
      <c r="F49">
        <f>Sayfa1!C49-273.15</f>
        <v>24.432031250000023</v>
      </c>
      <c r="G49">
        <v>16.857034683227539</v>
      </c>
      <c r="H49">
        <f>SQRT(Sayfa1!D49^2+Sayfa1!E49^2)</f>
        <v>1.1717833453337145</v>
      </c>
      <c r="I49">
        <f>SUM(Sayfa1!G26:G49)</f>
        <v>0</v>
      </c>
    </row>
    <row r="50" spans="1:9" x14ac:dyDescent="0.3">
      <c r="A50">
        <v>-118.5</v>
      </c>
      <c r="B50">
        <v>34.25</v>
      </c>
      <c r="C50">
        <v>2025</v>
      </c>
      <c r="D50">
        <v>1</v>
      </c>
      <c r="E50">
        <v>3</v>
      </c>
      <c r="F50">
        <f>Sayfa1!C50-273.15</f>
        <v>24.485375976562523</v>
      </c>
      <c r="G50">
        <v>22.177885055541992</v>
      </c>
      <c r="H50">
        <f>SQRT(Sayfa1!D50^2+Sayfa1!E50^2)</f>
        <v>0.70222228518074215</v>
      </c>
      <c r="I50">
        <f>SUM(Sayfa1!G27:G50)</f>
        <v>0</v>
      </c>
    </row>
    <row r="51" spans="1:9" x14ac:dyDescent="0.3">
      <c r="A51">
        <v>-118.5</v>
      </c>
      <c r="B51">
        <v>34.25</v>
      </c>
      <c r="C51">
        <v>2025</v>
      </c>
      <c r="D51">
        <v>1</v>
      </c>
      <c r="E51">
        <v>3</v>
      </c>
      <c r="F51">
        <f>Sayfa1!C51-273.15</f>
        <v>24.126489257812523</v>
      </c>
      <c r="G51">
        <v>27.589309692382813</v>
      </c>
      <c r="H51">
        <f>SQRT(Sayfa1!D51^2+Sayfa1!E51^2)</f>
        <v>1.2277239605812074</v>
      </c>
      <c r="I51">
        <f>SUM(Sayfa1!G28:G51)</f>
        <v>0</v>
      </c>
    </row>
    <row r="52" spans="1:9" x14ac:dyDescent="0.3">
      <c r="A52">
        <v>-118.5</v>
      </c>
      <c r="B52">
        <v>34.25</v>
      </c>
      <c r="C52">
        <v>2025</v>
      </c>
      <c r="D52">
        <v>1</v>
      </c>
      <c r="E52">
        <v>3</v>
      </c>
      <c r="F52">
        <f>Sayfa1!C52-273.15</f>
        <v>23.513085937500023</v>
      </c>
      <c r="G52">
        <v>31.355255126953125</v>
      </c>
      <c r="H52">
        <f>SQRT(Sayfa1!D52^2+Sayfa1!E52^2)</f>
        <v>2.0169865342359534</v>
      </c>
      <c r="I52">
        <f>SUM(Sayfa1!G29:G52)</f>
        <v>0</v>
      </c>
    </row>
    <row r="53" spans="1:9" x14ac:dyDescent="0.3">
      <c r="A53">
        <v>-118.5</v>
      </c>
      <c r="B53">
        <v>34.25</v>
      </c>
      <c r="C53">
        <v>2025</v>
      </c>
      <c r="D53">
        <v>1</v>
      </c>
      <c r="E53">
        <v>3</v>
      </c>
      <c r="F53">
        <f>Sayfa1!C53-273.15</f>
        <v>22.879785156250023</v>
      </c>
      <c r="G53">
        <v>35.233184814453125</v>
      </c>
      <c r="H53">
        <f>SQRT(Sayfa1!D53^2+Sayfa1!E53^2)</f>
        <v>2.4801186232344055</v>
      </c>
      <c r="I53">
        <f>SUM(Sayfa1!G30:G53)</f>
        <v>0</v>
      </c>
    </row>
    <row r="54" spans="1:9" x14ac:dyDescent="0.3">
      <c r="A54">
        <v>-118.5</v>
      </c>
      <c r="B54">
        <v>34.25</v>
      </c>
      <c r="C54">
        <v>2025</v>
      </c>
      <c r="D54">
        <v>1</v>
      </c>
      <c r="E54">
        <v>3</v>
      </c>
      <c r="F54">
        <f>Sayfa1!C54-273.15</f>
        <v>22.330102539062523</v>
      </c>
      <c r="G54">
        <v>39.047744750976563</v>
      </c>
      <c r="H54">
        <f>SQRT(Sayfa1!D54^2+Sayfa1!E54^2)</f>
        <v>2.569758590559319</v>
      </c>
      <c r="I54">
        <f>SUM(Sayfa1!G31:G54)</f>
        <v>0</v>
      </c>
    </row>
    <row r="55" spans="1:9" x14ac:dyDescent="0.3">
      <c r="A55">
        <v>-118.5</v>
      </c>
      <c r="B55">
        <v>34.25</v>
      </c>
      <c r="C55">
        <v>2025</v>
      </c>
      <c r="D55">
        <v>1</v>
      </c>
      <c r="E55">
        <v>3</v>
      </c>
      <c r="F55">
        <f>Sayfa1!C55-273.15</f>
        <v>21.809228515625023</v>
      </c>
      <c r="G55">
        <v>41.788070678710938</v>
      </c>
      <c r="H55">
        <f>SQRT(Sayfa1!D55^2+Sayfa1!E55^2)</f>
        <v>2.5147295278603736</v>
      </c>
      <c r="I55">
        <f>SUM(Sayfa1!G32:G55)</f>
        <v>0</v>
      </c>
    </row>
    <row r="56" spans="1:9" x14ac:dyDescent="0.3">
      <c r="A56">
        <v>-118.5</v>
      </c>
      <c r="B56">
        <v>34.25</v>
      </c>
      <c r="C56">
        <v>2025</v>
      </c>
      <c r="D56">
        <v>1</v>
      </c>
      <c r="E56">
        <v>3</v>
      </c>
      <c r="F56">
        <f>Sayfa1!C56-273.15</f>
        <v>21.335839843750023</v>
      </c>
      <c r="G56">
        <v>43.72705078125</v>
      </c>
      <c r="H56">
        <f>SQRT(Sayfa1!D56^2+Sayfa1!E56^2)</f>
        <v>2.3547395322015539</v>
      </c>
      <c r="I56">
        <f>SUM(Sayfa1!G33:G56)</f>
        <v>0</v>
      </c>
    </row>
    <row r="57" spans="1:9" x14ac:dyDescent="0.3">
      <c r="A57">
        <v>-118.5</v>
      </c>
      <c r="B57">
        <v>34.25</v>
      </c>
      <c r="C57">
        <v>2025</v>
      </c>
      <c r="D57">
        <v>1</v>
      </c>
      <c r="E57">
        <v>3</v>
      </c>
      <c r="F57">
        <f>Sayfa1!C57-273.15</f>
        <v>20.946313476562523</v>
      </c>
      <c r="G57">
        <v>45.586349487304688</v>
      </c>
      <c r="H57">
        <f>SQRT(Sayfa1!D57^2+Sayfa1!E57^2)</f>
        <v>2.2216071503189325</v>
      </c>
      <c r="I57">
        <f>SUM(Sayfa1!G34:G57)</f>
        <v>0</v>
      </c>
    </row>
    <row r="58" spans="1:9" x14ac:dyDescent="0.3">
      <c r="A58">
        <v>-118.5</v>
      </c>
      <c r="B58">
        <v>34.25</v>
      </c>
      <c r="C58">
        <v>2025</v>
      </c>
      <c r="D58">
        <v>1</v>
      </c>
      <c r="E58">
        <v>3</v>
      </c>
      <c r="F58">
        <f>Sayfa1!C58-273.15</f>
        <v>20.806298828125023</v>
      </c>
      <c r="G58">
        <v>48.220596313476563</v>
      </c>
      <c r="H58">
        <f>SQRT(Sayfa1!D58^2+Sayfa1!E58^2)</f>
        <v>2.1493606911722605</v>
      </c>
      <c r="I58">
        <f>SUM(Sayfa1!G35:G58)</f>
        <v>0</v>
      </c>
    </row>
    <row r="59" spans="1:9" x14ac:dyDescent="0.3">
      <c r="A59">
        <v>-118.5</v>
      </c>
      <c r="B59">
        <v>34.25</v>
      </c>
      <c r="C59">
        <v>2025</v>
      </c>
      <c r="D59">
        <v>1</v>
      </c>
      <c r="E59">
        <v>3</v>
      </c>
      <c r="F59">
        <f>Sayfa1!C59-273.15</f>
        <v>20.737451171875023</v>
      </c>
      <c r="G59">
        <v>50.5938720703125</v>
      </c>
      <c r="H59">
        <f>SQRT(Sayfa1!D59^2+Sayfa1!E59^2)</f>
        <v>2.0822028115467028</v>
      </c>
      <c r="I59">
        <f>SUM(Sayfa1!G36:G59)</f>
        <v>0</v>
      </c>
    </row>
    <row r="60" spans="1:9" x14ac:dyDescent="0.3">
      <c r="A60">
        <v>-118.5</v>
      </c>
      <c r="B60">
        <v>34.25</v>
      </c>
      <c r="C60">
        <v>2025</v>
      </c>
      <c r="D60">
        <v>1</v>
      </c>
      <c r="E60">
        <v>3</v>
      </c>
      <c r="F60">
        <f>Sayfa1!C60-273.15</f>
        <v>19.870019531250023</v>
      </c>
      <c r="G60">
        <v>54.033660888671875</v>
      </c>
      <c r="H60">
        <f>SQRT(Sayfa1!D60^2+Sayfa1!E60^2)</f>
        <v>1.9993433052326941</v>
      </c>
      <c r="I60">
        <f>SUM(Sayfa1!G37:G60)</f>
        <v>0</v>
      </c>
    </row>
    <row r="61" spans="1:9" x14ac:dyDescent="0.3">
      <c r="A61">
        <v>-118.5</v>
      </c>
      <c r="B61">
        <v>34.25</v>
      </c>
      <c r="C61">
        <v>2025</v>
      </c>
      <c r="D61">
        <v>1</v>
      </c>
      <c r="E61">
        <v>3</v>
      </c>
      <c r="F61">
        <f>Sayfa1!C61-273.15</f>
        <v>20.166894531250023</v>
      </c>
      <c r="G61">
        <v>58.397491455078125</v>
      </c>
      <c r="H61">
        <f>SQRT(Sayfa1!D61^2+Sayfa1!E61^2)</f>
        <v>2.0461468696549234</v>
      </c>
      <c r="I61">
        <f>SUM(Sayfa1!G38:G61)</f>
        <v>0</v>
      </c>
    </row>
    <row r="62" spans="1:9" x14ac:dyDescent="0.3">
      <c r="A62">
        <v>-118.5</v>
      </c>
      <c r="B62">
        <v>34.25</v>
      </c>
      <c r="C62">
        <v>2025</v>
      </c>
      <c r="D62">
        <v>1</v>
      </c>
      <c r="E62">
        <v>3</v>
      </c>
      <c r="F62">
        <f>Sayfa1!C62-273.15</f>
        <v>20.156396484375023</v>
      </c>
      <c r="G62">
        <v>59.709747314453125</v>
      </c>
      <c r="H62">
        <f>SQRT(Sayfa1!D62^2+Sayfa1!E62^2)</f>
        <v>2.0497242684375383</v>
      </c>
      <c r="I62">
        <f>SUM(Sayfa1!G39:G62)</f>
        <v>0</v>
      </c>
    </row>
    <row r="63" spans="1:9" x14ac:dyDescent="0.3">
      <c r="A63">
        <v>-118.5</v>
      </c>
      <c r="B63">
        <v>34.25</v>
      </c>
      <c r="C63">
        <v>2025</v>
      </c>
      <c r="D63">
        <v>1</v>
      </c>
      <c r="E63">
        <v>3</v>
      </c>
      <c r="F63">
        <f>Sayfa1!C63-273.15</f>
        <v>20.081933593750023</v>
      </c>
      <c r="G63">
        <v>62.187042236328125</v>
      </c>
      <c r="H63">
        <f>SQRT(Sayfa1!D63^2+Sayfa1!E63^2)</f>
        <v>2.1376638473876133</v>
      </c>
      <c r="I63">
        <f>SUM(Sayfa1!G40:G63)</f>
        <v>0</v>
      </c>
    </row>
    <row r="64" spans="1:9" x14ac:dyDescent="0.3">
      <c r="A64">
        <v>-118.5</v>
      </c>
      <c r="B64">
        <v>34.25</v>
      </c>
      <c r="C64">
        <v>2025</v>
      </c>
      <c r="D64">
        <v>1</v>
      </c>
      <c r="E64">
        <v>3</v>
      </c>
      <c r="F64">
        <f>Sayfa1!C64-273.15</f>
        <v>19.871972656250023</v>
      </c>
      <c r="G64">
        <v>63.731735229492188</v>
      </c>
      <c r="H64">
        <f>SQRT(Sayfa1!D64^2+Sayfa1!E64^2)</f>
        <v>2.2126776394633674</v>
      </c>
      <c r="I64">
        <f>SUM(Sayfa1!G41:G64)</f>
        <v>0</v>
      </c>
    </row>
    <row r="65" spans="1:9" x14ac:dyDescent="0.3">
      <c r="A65">
        <v>-118.5</v>
      </c>
      <c r="B65">
        <v>34.25</v>
      </c>
      <c r="C65">
        <v>2025</v>
      </c>
      <c r="D65">
        <v>1</v>
      </c>
      <c r="E65">
        <v>3</v>
      </c>
      <c r="F65">
        <f>Sayfa1!C65-273.15</f>
        <v>19.338525390625023</v>
      </c>
      <c r="G65">
        <v>62.772377014160156</v>
      </c>
      <c r="H65">
        <f>SQRT(Sayfa1!D65^2+Sayfa1!E65^2)</f>
        <v>2.1951925843232551</v>
      </c>
      <c r="I65">
        <f>SUM(Sayfa1!G42:G65)</f>
        <v>0</v>
      </c>
    </row>
    <row r="66" spans="1:9" x14ac:dyDescent="0.3">
      <c r="A66">
        <v>-118.5</v>
      </c>
      <c r="B66">
        <v>34.25</v>
      </c>
      <c r="C66">
        <v>2025</v>
      </c>
      <c r="D66">
        <v>1</v>
      </c>
      <c r="E66">
        <v>3</v>
      </c>
      <c r="F66">
        <f>Sayfa1!C66-273.15</f>
        <v>18.948876953125023</v>
      </c>
      <c r="G66">
        <v>57.703666687011719</v>
      </c>
      <c r="H66">
        <f>SQRT(Sayfa1!D66^2+Sayfa1!E66^2)</f>
        <v>1.7291979310549084</v>
      </c>
      <c r="I66">
        <f>SUM(Sayfa1!G43:G66)</f>
        <v>0</v>
      </c>
    </row>
    <row r="67" spans="1:9" x14ac:dyDescent="0.3">
      <c r="A67">
        <v>-118.5</v>
      </c>
      <c r="B67">
        <v>34.25</v>
      </c>
      <c r="C67">
        <v>2025</v>
      </c>
      <c r="D67">
        <v>1</v>
      </c>
      <c r="E67">
        <v>3</v>
      </c>
      <c r="F67">
        <f>Sayfa1!C67-273.15</f>
        <v>18.588281250000023</v>
      </c>
      <c r="G67">
        <v>45.370082855224609</v>
      </c>
      <c r="H67">
        <f>SQRT(Sayfa1!D67^2+Sayfa1!E67^2)</f>
        <v>0.96842308270062549</v>
      </c>
      <c r="I67">
        <f>SUM(Sayfa1!G44:G67)</f>
        <v>0</v>
      </c>
    </row>
    <row r="68" spans="1:9" x14ac:dyDescent="0.3">
      <c r="A68">
        <v>-118.5</v>
      </c>
      <c r="B68">
        <v>34.25</v>
      </c>
      <c r="C68">
        <v>2025</v>
      </c>
      <c r="D68">
        <v>1</v>
      </c>
      <c r="E68">
        <v>3</v>
      </c>
      <c r="F68">
        <f>Sayfa1!C68-273.15</f>
        <v>17.975976562500023</v>
      </c>
      <c r="G68">
        <v>32.027046203613281</v>
      </c>
      <c r="H68">
        <f>SQRT(Sayfa1!D68^2+Sayfa1!E68^2)</f>
        <v>0.73053754709489638</v>
      </c>
      <c r="I68">
        <f>SUM(Sayfa1!G45:G68)</f>
        <v>0</v>
      </c>
    </row>
    <row r="69" spans="1:9" x14ac:dyDescent="0.3">
      <c r="A69">
        <v>-118.5</v>
      </c>
      <c r="B69">
        <v>34.25</v>
      </c>
      <c r="C69">
        <v>2025</v>
      </c>
      <c r="D69">
        <v>1</v>
      </c>
      <c r="E69">
        <v>3</v>
      </c>
      <c r="F69">
        <f>Sayfa1!C69-273.15</f>
        <v>17.895410156250023</v>
      </c>
      <c r="G69">
        <v>31.452754974365234</v>
      </c>
      <c r="H69">
        <f>SQRT(Sayfa1!D69^2+Sayfa1!E69^2)</f>
        <v>1.2421244668637561</v>
      </c>
      <c r="I69">
        <f>SUM(Sayfa1!G46:G69)</f>
        <v>0</v>
      </c>
    </row>
    <row r="70" spans="1:9" x14ac:dyDescent="0.3">
      <c r="A70">
        <v>-118.5</v>
      </c>
      <c r="B70">
        <v>34.25</v>
      </c>
      <c r="C70">
        <v>2025</v>
      </c>
      <c r="D70">
        <v>1</v>
      </c>
      <c r="E70">
        <v>3</v>
      </c>
      <c r="F70">
        <f>Sayfa1!C70-273.15</f>
        <v>18.309228515625023</v>
      </c>
      <c r="G70">
        <v>34.8414306640625</v>
      </c>
      <c r="H70">
        <f>SQRT(Sayfa1!D70^2+Sayfa1!E70^2)</f>
        <v>1.8037316730848127</v>
      </c>
      <c r="I70">
        <f>SUM(Sayfa1!G47:G70)</f>
        <v>0</v>
      </c>
    </row>
    <row r="71" spans="1:9" x14ac:dyDescent="0.3">
      <c r="A71">
        <v>-118.5</v>
      </c>
      <c r="B71">
        <v>34.25</v>
      </c>
      <c r="C71">
        <v>2025</v>
      </c>
      <c r="D71">
        <v>1</v>
      </c>
      <c r="E71">
        <v>3</v>
      </c>
      <c r="F71">
        <f>Sayfa1!C71-273.15</f>
        <v>18.349023437500023</v>
      </c>
      <c r="G71">
        <v>36.452033996582031</v>
      </c>
      <c r="H71">
        <f>SQRT(Sayfa1!D71^2+Sayfa1!E71^2)</f>
        <v>1.885853114253528</v>
      </c>
      <c r="I71">
        <f>SUM(Sayfa1!G48:G71)</f>
        <v>0</v>
      </c>
    </row>
    <row r="72" spans="1:9" x14ac:dyDescent="0.3">
      <c r="A72">
        <v>-118.5</v>
      </c>
      <c r="B72">
        <v>34.25</v>
      </c>
      <c r="C72">
        <v>2025</v>
      </c>
      <c r="D72">
        <v>1</v>
      </c>
      <c r="E72">
        <v>3</v>
      </c>
      <c r="F72">
        <f>Sayfa1!C72-273.15</f>
        <v>18.622216796875023</v>
      </c>
      <c r="G72">
        <v>41.497207641601563</v>
      </c>
      <c r="H72">
        <f>SQRT(Sayfa1!D72^2+Sayfa1!E72^2)</f>
        <v>1.6036560216238227</v>
      </c>
      <c r="I72">
        <f>SUM(Sayfa1!G49:G72)</f>
        <v>0</v>
      </c>
    </row>
    <row r="73" spans="1:9" x14ac:dyDescent="0.3">
      <c r="A73">
        <v>-118.5</v>
      </c>
      <c r="B73">
        <v>34.25</v>
      </c>
      <c r="C73">
        <v>2025</v>
      </c>
      <c r="D73">
        <v>1</v>
      </c>
      <c r="E73">
        <v>3</v>
      </c>
      <c r="F73">
        <f>Sayfa1!C73-273.15</f>
        <v>19.067529296875023</v>
      </c>
      <c r="G73">
        <v>40.054443359375</v>
      </c>
      <c r="H73">
        <f>SQRT(Sayfa1!D73^2+Sayfa1!E73^2)</f>
        <v>2.1991183580298284</v>
      </c>
      <c r="I73">
        <f>SUM(Sayfa1!G50:G73)</f>
        <v>0</v>
      </c>
    </row>
    <row r="74" spans="1:9" x14ac:dyDescent="0.3">
      <c r="A74">
        <v>-118.5</v>
      </c>
      <c r="B74">
        <v>34.25</v>
      </c>
      <c r="C74">
        <v>2025</v>
      </c>
      <c r="D74">
        <v>1</v>
      </c>
      <c r="E74">
        <v>4</v>
      </c>
      <c r="F74">
        <f>Sayfa1!C74-273.15</f>
        <v>18.373193359375023</v>
      </c>
      <c r="G74">
        <v>45.537567138671875</v>
      </c>
      <c r="H74">
        <f>SQRT(Sayfa1!D74^2+Sayfa1!E74^2)</f>
        <v>1.9348054154001462</v>
      </c>
      <c r="I74">
        <f>SUM(Sayfa1!G51:G74)</f>
        <v>0</v>
      </c>
    </row>
    <row r="75" spans="1:9" x14ac:dyDescent="0.3">
      <c r="A75">
        <v>-118.5</v>
      </c>
      <c r="B75">
        <v>34.25</v>
      </c>
      <c r="C75">
        <v>2025</v>
      </c>
      <c r="D75">
        <v>1</v>
      </c>
      <c r="E75">
        <v>4</v>
      </c>
      <c r="F75">
        <f>Sayfa1!C75-273.15</f>
        <v>16.789208984375023</v>
      </c>
      <c r="G75">
        <v>56.72601318359375</v>
      </c>
      <c r="H75">
        <f>SQRT(Sayfa1!D75^2+Sayfa1!E75^2)</f>
        <v>2.0939516205733115</v>
      </c>
      <c r="I75">
        <f>SUM(Sayfa1!G52:G75)</f>
        <v>0</v>
      </c>
    </row>
    <row r="76" spans="1:9" x14ac:dyDescent="0.3">
      <c r="A76">
        <v>-118.5</v>
      </c>
      <c r="B76">
        <v>34.25</v>
      </c>
      <c r="C76">
        <v>2025</v>
      </c>
      <c r="D76">
        <v>1</v>
      </c>
      <c r="E76">
        <v>4</v>
      </c>
      <c r="F76">
        <f>Sayfa1!C76-273.15</f>
        <v>15.102075195312523</v>
      </c>
      <c r="G76">
        <v>69.781906127929688</v>
      </c>
      <c r="H76">
        <f>SQRT(Sayfa1!D76^2+Sayfa1!E76^2)</f>
        <v>1.4189502844129385</v>
      </c>
      <c r="I76">
        <f>SUM(Sayfa1!G53:G76)</f>
        <v>0</v>
      </c>
    </row>
    <row r="77" spans="1:9" x14ac:dyDescent="0.3">
      <c r="A77">
        <v>-118.5</v>
      </c>
      <c r="B77">
        <v>34.25</v>
      </c>
      <c r="C77">
        <v>2025</v>
      </c>
      <c r="D77">
        <v>1</v>
      </c>
      <c r="E77">
        <v>4</v>
      </c>
      <c r="F77">
        <f>Sayfa1!C77-273.15</f>
        <v>14.353540039062523</v>
      </c>
      <c r="G77">
        <v>78.643661499023438</v>
      </c>
      <c r="H77">
        <f>SQRT(Sayfa1!D77^2+Sayfa1!E77^2)</f>
        <v>0.84325560585218395</v>
      </c>
      <c r="I77">
        <f>SUM(Sayfa1!G54:G77)</f>
        <v>0</v>
      </c>
    </row>
    <row r="78" spans="1:9" x14ac:dyDescent="0.3">
      <c r="A78">
        <v>-118.5</v>
      </c>
      <c r="B78">
        <v>34.25</v>
      </c>
      <c r="C78">
        <v>2025</v>
      </c>
      <c r="D78">
        <v>1</v>
      </c>
      <c r="E78">
        <v>4</v>
      </c>
      <c r="F78">
        <f>Sayfa1!C78-273.15</f>
        <v>13.987695312500023</v>
      </c>
      <c r="G78">
        <v>85.198928833007813</v>
      </c>
      <c r="H78">
        <f>SQRT(Sayfa1!D78^2+Sayfa1!E78^2)</f>
        <v>0.1670910113420386</v>
      </c>
      <c r="I78">
        <f>SUM(Sayfa1!G55:G78)</f>
        <v>0</v>
      </c>
    </row>
    <row r="79" spans="1:9" x14ac:dyDescent="0.3">
      <c r="A79">
        <v>-118.5</v>
      </c>
      <c r="B79">
        <v>34.25</v>
      </c>
      <c r="C79">
        <v>2025</v>
      </c>
      <c r="D79">
        <v>1</v>
      </c>
      <c r="E79">
        <v>4</v>
      </c>
      <c r="F79">
        <f>Sayfa1!C79-273.15</f>
        <v>13.730004882812523</v>
      </c>
      <c r="G79">
        <v>88.664199829101563</v>
      </c>
      <c r="H79">
        <f>SQRT(Sayfa1!D79^2+Sayfa1!E79^2)</f>
        <v>0.68457708647909543</v>
      </c>
      <c r="I79">
        <f>SUM(Sayfa1!G56:G79)</f>
        <v>0</v>
      </c>
    </row>
    <row r="80" spans="1:9" x14ac:dyDescent="0.3">
      <c r="A80">
        <v>-118.5</v>
      </c>
      <c r="B80">
        <v>34.25</v>
      </c>
      <c r="C80">
        <v>2025</v>
      </c>
      <c r="D80">
        <v>1</v>
      </c>
      <c r="E80">
        <v>4</v>
      </c>
      <c r="F80">
        <f>Sayfa1!C80-273.15</f>
        <v>13.502343750000023</v>
      </c>
      <c r="G80">
        <v>89.165283203125</v>
      </c>
      <c r="H80">
        <f>SQRT(Sayfa1!D80^2+Sayfa1!E80^2)</f>
        <v>1.12294721430709</v>
      </c>
      <c r="I80">
        <f>SUM(Sayfa1!G57:G80)</f>
        <v>0</v>
      </c>
    </row>
    <row r="81" spans="1:9" x14ac:dyDescent="0.3">
      <c r="A81">
        <v>-118.5</v>
      </c>
      <c r="B81">
        <v>34.25</v>
      </c>
      <c r="C81">
        <v>2025</v>
      </c>
      <c r="D81">
        <v>1</v>
      </c>
      <c r="E81">
        <v>4</v>
      </c>
      <c r="F81">
        <f>Sayfa1!C81-273.15</f>
        <v>13.603784179687523</v>
      </c>
      <c r="G81">
        <v>87.469589233398438</v>
      </c>
      <c r="H81">
        <f>SQRT(Sayfa1!D81^2+Sayfa1!E81^2)</f>
        <v>1.5762949279372056</v>
      </c>
      <c r="I81">
        <f>SUM(Sayfa1!G58:G81)</f>
        <v>0</v>
      </c>
    </row>
    <row r="82" spans="1:9" x14ac:dyDescent="0.3">
      <c r="A82">
        <v>-118.5</v>
      </c>
      <c r="B82">
        <v>34.25</v>
      </c>
      <c r="C82">
        <v>2025</v>
      </c>
      <c r="D82">
        <v>1</v>
      </c>
      <c r="E82">
        <v>4</v>
      </c>
      <c r="F82">
        <f>Sayfa1!C82-273.15</f>
        <v>13.624658203125023</v>
      </c>
      <c r="G82">
        <v>85.1641845703125</v>
      </c>
      <c r="H82">
        <f>SQRT(Sayfa1!D82^2+Sayfa1!E82^2)</f>
        <v>1.7671916881725827</v>
      </c>
      <c r="I82">
        <f>SUM(Sayfa1!G59:G82)</f>
        <v>0</v>
      </c>
    </row>
    <row r="83" spans="1:9" x14ac:dyDescent="0.3">
      <c r="A83">
        <v>-118.5</v>
      </c>
      <c r="B83">
        <v>34.25</v>
      </c>
      <c r="C83">
        <v>2025</v>
      </c>
      <c r="D83">
        <v>1</v>
      </c>
      <c r="E83">
        <v>4</v>
      </c>
      <c r="F83">
        <f>Sayfa1!C83-273.15</f>
        <v>13.544458007812523</v>
      </c>
      <c r="G83">
        <v>83.113067626953125</v>
      </c>
      <c r="H83">
        <f>SQRT(Sayfa1!D83^2+Sayfa1!E83^2)</f>
        <v>1.9926184922568497</v>
      </c>
      <c r="I83">
        <f>SUM(Sayfa1!G60:G83)</f>
        <v>0</v>
      </c>
    </row>
    <row r="84" spans="1:9" x14ac:dyDescent="0.3">
      <c r="A84">
        <v>-118.5</v>
      </c>
      <c r="B84">
        <v>34.25</v>
      </c>
      <c r="C84">
        <v>2025</v>
      </c>
      <c r="D84">
        <v>1</v>
      </c>
      <c r="E84">
        <v>4</v>
      </c>
      <c r="F84">
        <f>Sayfa1!C84-273.15</f>
        <v>12.636987304687523</v>
      </c>
      <c r="G84">
        <v>82.413681030273438</v>
      </c>
      <c r="H84">
        <f>SQRT(Sayfa1!D84^2+Sayfa1!E84^2)</f>
        <v>1.6205594907377696</v>
      </c>
      <c r="I84">
        <f>SUM(Sayfa1!G61:G84)</f>
        <v>0</v>
      </c>
    </row>
    <row r="85" spans="1:9" x14ac:dyDescent="0.3">
      <c r="A85">
        <v>-118.5</v>
      </c>
      <c r="B85">
        <v>34.25</v>
      </c>
      <c r="C85">
        <v>2025</v>
      </c>
      <c r="D85">
        <v>1</v>
      </c>
      <c r="E85">
        <v>4</v>
      </c>
      <c r="F85">
        <f>Sayfa1!C85-273.15</f>
        <v>12.772607421875023</v>
      </c>
      <c r="G85">
        <v>79.429153442382813</v>
      </c>
      <c r="H85">
        <f>SQRT(Sayfa1!D85^2+Sayfa1!E85^2)</f>
        <v>1.6548433549675385</v>
      </c>
      <c r="I85">
        <f>SUM(Sayfa1!G62:G85)</f>
        <v>0</v>
      </c>
    </row>
    <row r="86" spans="1:9" x14ac:dyDescent="0.3">
      <c r="A86">
        <v>-118.5</v>
      </c>
      <c r="B86">
        <v>34.25</v>
      </c>
      <c r="C86">
        <v>2025</v>
      </c>
      <c r="D86">
        <v>1</v>
      </c>
      <c r="E86">
        <v>4</v>
      </c>
      <c r="F86">
        <f>Sayfa1!C86-273.15</f>
        <v>12.738153076171898</v>
      </c>
      <c r="G86">
        <v>80.911529541015625</v>
      </c>
      <c r="H86">
        <f>SQRT(Sayfa1!D86^2+Sayfa1!E86^2)</f>
        <v>1.8577576012582013</v>
      </c>
      <c r="I86">
        <f>SUM(Sayfa1!G63:G86)</f>
        <v>0</v>
      </c>
    </row>
    <row r="87" spans="1:9" x14ac:dyDescent="0.3">
      <c r="A87">
        <v>-118.5</v>
      </c>
      <c r="B87">
        <v>34.25</v>
      </c>
      <c r="C87">
        <v>2025</v>
      </c>
      <c r="D87">
        <v>1</v>
      </c>
      <c r="E87">
        <v>4</v>
      </c>
      <c r="F87">
        <f>Sayfa1!C87-273.15</f>
        <v>12.844201660156273</v>
      </c>
      <c r="G87">
        <v>80.833389282226563</v>
      </c>
      <c r="H87">
        <f>SQRT(Sayfa1!D87^2+Sayfa1!E87^2)</f>
        <v>1.871628790128739</v>
      </c>
      <c r="I87">
        <f>SUM(Sayfa1!G64:G87)</f>
        <v>0</v>
      </c>
    </row>
    <row r="88" spans="1:9" x14ac:dyDescent="0.3">
      <c r="A88">
        <v>-118.5</v>
      </c>
      <c r="B88">
        <v>34.25</v>
      </c>
      <c r="C88">
        <v>2025</v>
      </c>
      <c r="D88">
        <v>1</v>
      </c>
      <c r="E88">
        <v>4</v>
      </c>
      <c r="F88">
        <f>Sayfa1!C88-273.15</f>
        <v>13.030908203125023</v>
      </c>
      <c r="G88">
        <v>81.946044921875</v>
      </c>
      <c r="H88">
        <f>SQRT(Sayfa1!D88^2+Sayfa1!E88^2)</f>
        <v>1.8171166948216726</v>
      </c>
      <c r="I88">
        <f>SUM(Sayfa1!G65:G88)</f>
        <v>0</v>
      </c>
    </row>
    <row r="89" spans="1:9" x14ac:dyDescent="0.3">
      <c r="A89">
        <v>-118.5</v>
      </c>
      <c r="B89">
        <v>34.25</v>
      </c>
      <c r="C89">
        <v>2025</v>
      </c>
      <c r="D89">
        <v>1</v>
      </c>
      <c r="E89">
        <v>4</v>
      </c>
      <c r="F89">
        <f>Sayfa1!C89-273.15</f>
        <v>12.728417968750023</v>
      </c>
      <c r="G89">
        <v>83.204925537109375</v>
      </c>
      <c r="H89">
        <f>SQRT(Sayfa1!D89^2+Sayfa1!E89^2)</f>
        <v>1.7289187123651686</v>
      </c>
      <c r="I89">
        <f>SUM(Sayfa1!G66:G89)</f>
        <v>0</v>
      </c>
    </row>
    <row r="90" spans="1:9" x14ac:dyDescent="0.3">
      <c r="A90">
        <v>-118.5</v>
      </c>
      <c r="B90">
        <v>34.25</v>
      </c>
      <c r="C90">
        <v>2025</v>
      </c>
      <c r="D90">
        <v>1</v>
      </c>
      <c r="E90">
        <v>4</v>
      </c>
      <c r="F90">
        <f>Sayfa1!C90-273.15</f>
        <v>12.026849365234398</v>
      </c>
      <c r="G90">
        <v>80.017181396484375</v>
      </c>
      <c r="H90">
        <f>SQRT(Sayfa1!D90^2+Sayfa1!E90^2)</f>
        <v>1.5331046337030889</v>
      </c>
      <c r="I90">
        <f>SUM(Sayfa1!G67:G90)</f>
        <v>0</v>
      </c>
    </row>
    <row r="91" spans="1:9" x14ac:dyDescent="0.3">
      <c r="A91">
        <v>-118.5</v>
      </c>
      <c r="B91">
        <v>34.25</v>
      </c>
      <c r="C91">
        <v>2025</v>
      </c>
      <c r="D91">
        <v>1</v>
      </c>
      <c r="E91">
        <v>4</v>
      </c>
      <c r="F91">
        <f>Sayfa1!C91-273.15</f>
        <v>11.873345947265648</v>
      </c>
      <c r="G91">
        <v>67.866744995117188</v>
      </c>
      <c r="H91">
        <f>SQRT(Sayfa1!D91^2+Sayfa1!E91^2)</f>
        <v>1.4971576564570024</v>
      </c>
      <c r="I91">
        <f>SUM(Sayfa1!G68:G91)</f>
        <v>0</v>
      </c>
    </row>
    <row r="92" spans="1:9" x14ac:dyDescent="0.3">
      <c r="A92">
        <v>-118.5</v>
      </c>
      <c r="B92">
        <v>34.25</v>
      </c>
      <c r="C92">
        <v>2025</v>
      </c>
      <c r="D92">
        <v>1</v>
      </c>
      <c r="E92">
        <v>4</v>
      </c>
      <c r="F92">
        <f>Sayfa1!C92-273.15</f>
        <v>13.076623535156273</v>
      </c>
      <c r="G92">
        <v>55.69281005859375</v>
      </c>
      <c r="H92">
        <f>SQRT(Sayfa1!D92^2+Sayfa1!E92^2)</f>
        <v>1.4582919013610642</v>
      </c>
      <c r="I92">
        <f>SUM(Sayfa1!G69:G92)</f>
        <v>0</v>
      </c>
    </row>
    <row r="93" spans="1:9" x14ac:dyDescent="0.3">
      <c r="A93">
        <v>-118.5</v>
      </c>
      <c r="B93">
        <v>34.25</v>
      </c>
      <c r="C93">
        <v>2025</v>
      </c>
      <c r="D93">
        <v>1</v>
      </c>
      <c r="E93">
        <v>4</v>
      </c>
      <c r="F93">
        <f>Sayfa1!C93-273.15</f>
        <v>15.014062500000023</v>
      </c>
      <c r="G93">
        <v>43.238998413085938</v>
      </c>
      <c r="H93">
        <f>SQRT(Sayfa1!D93^2+Sayfa1!E93^2)</f>
        <v>1.9642346680075038</v>
      </c>
      <c r="I93">
        <f>SUM(Sayfa1!G70:G93)</f>
        <v>0</v>
      </c>
    </row>
    <row r="94" spans="1:9" x14ac:dyDescent="0.3">
      <c r="A94">
        <v>-118.5</v>
      </c>
      <c r="B94">
        <v>34.25</v>
      </c>
      <c r="C94">
        <v>2025</v>
      </c>
      <c r="D94">
        <v>1</v>
      </c>
      <c r="E94">
        <v>4</v>
      </c>
      <c r="F94">
        <f>Sayfa1!C94-273.15</f>
        <v>16.730126953125023</v>
      </c>
      <c r="G94">
        <v>35.173049926757813</v>
      </c>
      <c r="H94">
        <f>SQRT(Sayfa1!D94^2+Sayfa1!E94^2)</f>
        <v>2.3465624994114944</v>
      </c>
      <c r="I94">
        <f>SUM(Sayfa1!G71:G94)</f>
        <v>0</v>
      </c>
    </row>
    <row r="95" spans="1:9" x14ac:dyDescent="0.3">
      <c r="A95">
        <v>-118.5</v>
      </c>
      <c r="B95">
        <v>34.25</v>
      </c>
      <c r="C95">
        <v>2025</v>
      </c>
      <c r="D95">
        <v>1</v>
      </c>
      <c r="E95">
        <v>4</v>
      </c>
      <c r="F95">
        <f>Sayfa1!C95-273.15</f>
        <v>18.136010742187523</v>
      </c>
      <c r="G95">
        <v>29.271682739257813</v>
      </c>
      <c r="H95">
        <f>SQRT(Sayfa1!D95^2+Sayfa1!E95^2)</f>
        <v>2.5649856574549315</v>
      </c>
      <c r="I95">
        <f>SUM(Sayfa1!G72:G95)</f>
        <v>0</v>
      </c>
    </row>
    <row r="96" spans="1:9" x14ac:dyDescent="0.3">
      <c r="A96">
        <v>-118.5</v>
      </c>
      <c r="B96">
        <v>34.25</v>
      </c>
      <c r="C96">
        <v>2025</v>
      </c>
      <c r="D96">
        <v>1</v>
      </c>
      <c r="E96">
        <v>4</v>
      </c>
      <c r="F96">
        <f>Sayfa1!C96-273.15</f>
        <v>17.509790039062523</v>
      </c>
      <c r="G96">
        <v>32.627899169921875</v>
      </c>
      <c r="H96">
        <f>SQRT(Sayfa1!D96^2+Sayfa1!E96^2)</f>
        <v>1.2794580930397168</v>
      </c>
      <c r="I96">
        <f>SUM(Sayfa1!G73:G96)</f>
        <v>0</v>
      </c>
    </row>
    <row r="97" spans="1:9" x14ac:dyDescent="0.3">
      <c r="A97">
        <v>-118.5</v>
      </c>
      <c r="B97">
        <v>34.25</v>
      </c>
      <c r="C97">
        <v>2025</v>
      </c>
      <c r="D97">
        <v>1</v>
      </c>
      <c r="E97">
        <v>4</v>
      </c>
      <c r="F97">
        <f>Sayfa1!C97-273.15</f>
        <v>17.941796875000023</v>
      </c>
      <c r="G97">
        <v>32.290939331054688</v>
      </c>
      <c r="H97">
        <f>SQRT(Sayfa1!D97^2+Sayfa1!E97^2)</f>
        <v>1.285089926345296</v>
      </c>
      <c r="I97">
        <f>SUM(Sayfa1!G74:G97)</f>
        <v>0</v>
      </c>
    </row>
    <row r="98" spans="1:9" x14ac:dyDescent="0.3">
      <c r="A98">
        <v>-118.5</v>
      </c>
      <c r="B98">
        <v>34.25</v>
      </c>
      <c r="C98">
        <v>2025</v>
      </c>
      <c r="D98">
        <v>1</v>
      </c>
      <c r="E98">
        <v>5</v>
      </c>
      <c r="F98">
        <f>Sayfa1!C98-273.15</f>
        <v>17.961572265625023</v>
      </c>
      <c r="G98">
        <v>33.801055908203125</v>
      </c>
      <c r="H98">
        <f>SQRT(Sayfa1!D98^2+Sayfa1!E98^2)</f>
        <v>1.6889770545418812</v>
      </c>
      <c r="I98">
        <f>SUM(Sayfa1!G75:G98)</f>
        <v>0</v>
      </c>
    </row>
    <row r="99" spans="1:9" x14ac:dyDescent="0.3">
      <c r="A99">
        <v>-118.5</v>
      </c>
      <c r="B99">
        <v>34.25</v>
      </c>
      <c r="C99">
        <v>2025</v>
      </c>
      <c r="D99">
        <v>1</v>
      </c>
      <c r="E99">
        <v>5</v>
      </c>
      <c r="F99">
        <f>Sayfa1!C99-273.15</f>
        <v>17.632836914062523</v>
      </c>
      <c r="G99">
        <v>38.1080322265625</v>
      </c>
      <c r="H99">
        <f>SQRT(Sayfa1!D99^2+Sayfa1!E99^2)</f>
        <v>1.5835258530788425</v>
      </c>
      <c r="I99">
        <f>SUM(Sayfa1!G76:G99)</f>
        <v>0</v>
      </c>
    </row>
    <row r="100" spans="1:9" x14ac:dyDescent="0.3">
      <c r="A100">
        <v>-118.5</v>
      </c>
      <c r="B100">
        <v>34.25</v>
      </c>
      <c r="C100">
        <v>2025</v>
      </c>
      <c r="D100">
        <v>1</v>
      </c>
      <c r="E100">
        <v>5</v>
      </c>
      <c r="F100">
        <f>Sayfa1!C100-273.15</f>
        <v>17.214013671875023</v>
      </c>
      <c r="G100">
        <v>42.929550170898438</v>
      </c>
      <c r="H100">
        <f>SQRT(Sayfa1!D100^2+Sayfa1!E100^2)</f>
        <v>1.7098834687695488</v>
      </c>
      <c r="I100">
        <f>SUM(Sayfa1!G77:G100)</f>
        <v>0</v>
      </c>
    </row>
    <row r="101" spans="1:9" x14ac:dyDescent="0.3">
      <c r="A101">
        <v>-118.5</v>
      </c>
      <c r="B101">
        <v>34.25</v>
      </c>
      <c r="C101">
        <v>2025</v>
      </c>
      <c r="D101">
        <v>1</v>
      </c>
      <c r="E101">
        <v>5</v>
      </c>
      <c r="F101">
        <f>Sayfa1!C101-273.15</f>
        <v>16.758386230468773</v>
      </c>
      <c r="G101">
        <v>48.5426025390625</v>
      </c>
      <c r="H101">
        <f>SQRT(Sayfa1!D101^2+Sayfa1!E101^2)</f>
        <v>2.0070409101611588</v>
      </c>
      <c r="I101">
        <f>SUM(Sayfa1!G78:G101)</f>
        <v>0</v>
      </c>
    </row>
    <row r="102" spans="1:9" x14ac:dyDescent="0.3">
      <c r="A102">
        <v>-118.5</v>
      </c>
      <c r="B102">
        <v>34.25</v>
      </c>
      <c r="C102">
        <v>2025</v>
      </c>
      <c r="D102">
        <v>1</v>
      </c>
      <c r="E102">
        <v>5</v>
      </c>
      <c r="F102">
        <f>Sayfa1!C102-273.15</f>
        <v>16.144372558593773</v>
      </c>
      <c r="G102">
        <v>54.212326049804688</v>
      </c>
      <c r="H102">
        <f>SQRT(Sayfa1!D102^2+Sayfa1!E102^2)</f>
        <v>2.2889685408594387</v>
      </c>
      <c r="I102">
        <f>SUM(Sayfa1!G79:G102)</f>
        <v>0</v>
      </c>
    </row>
    <row r="103" spans="1:9" x14ac:dyDescent="0.3">
      <c r="A103">
        <v>-118.5</v>
      </c>
      <c r="B103">
        <v>34.25</v>
      </c>
      <c r="C103">
        <v>2025</v>
      </c>
      <c r="D103">
        <v>1</v>
      </c>
      <c r="E103">
        <v>5</v>
      </c>
      <c r="F103">
        <f>Sayfa1!C103-273.15</f>
        <v>15.625146484375023</v>
      </c>
      <c r="G103">
        <v>59.512466430664063</v>
      </c>
      <c r="H103">
        <f>SQRT(Sayfa1!D103^2+Sayfa1!E103^2)</f>
        <v>2.372958952889944</v>
      </c>
      <c r="I103">
        <f>SUM(Sayfa1!G80:G103)</f>
        <v>0</v>
      </c>
    </row>
    <row r="104" spans="1:9" x14ac:dyDescent="0.3">
      <c r="A104">
        <v>-118.5</v>
      </c>
      <c r="B104">
        <v>34.25</v>
      </c>
      <c r="C104">
        <v>2025</v>
      </c>
      <c r="D104">
        <v>1</v>
      </c>
      <c r="E104">
        <v>5</v>
      </c>
      <c r="F104">
        <f>Sayfa1!C104-273.15</f>
        <v>15.089135742187523</v>
      </c>
      <c r="G104">
        <v>63.080474853515625</v>
      </c>
      <c r="H104">
        <f>SQRT(Sayfa1!D104^2+Sayfa1!E104^2)</f>
        <v>2.5864439811609929</v>
      </c>
      <c r="I104">
        <f>SUM(Sayfa1!G81:G104)</f>
        <v>0</v>
      </c>
    </row>
    <row r="105" spans="1:9" x14ac:dyDescent="0.3">
      <c r="A105">
        <v>-118.5</v>
      </c>
      <c r="B105">
        <v>34.25</v>
      </c>
      <c r="C105">
        <v>2025</v>
      </c>
      <c r="D105">
        <v>1</v>
      </c>
      <c r="E105">
        <v>5</v>
      </c>
      <c r="F105">
        <f>Sayfa1!C105-273.15</f>
        <v>14.722436523437523</v>
      </c>
      <c r="G105">
        <v>66.9560546875</v>
      </c>
      <c r="H105">
        <f>SQRT(Sayfa1!D105^2+Sayfa1!E105^2)</f>
        <v>2.670328918929568</v>
      </c>
      <c r="I105">
        <f>SUM(Sayfa1!G82:G105)</f>
        <v>0</v>
      </c>
    </row>
    <row r="106" spans="1:9" x14ac:dyDescent="0.3">
      <c r="A106">
        <v>-118.5</v>
      </c>
      <c r="B106">
        <v>34.25</v>
      </c>
      <c r="C106">
        <v>2025</v>
      </c>
      <c r="D106">
        <v>1</v>
      </c>
      <c r="E106">
        <v>5</v>
      </c>
      <c r="F106">
        <f>Sayfa1!C106-273.15</f>
        <v>14.519433593750023</v>
      </c>
      <c r="G106">
        <v>70.410934448242188</v>
      </c>
      <c r="H106">
        <f>SQRT(Sayfa1!D106^2+Sayfa1!E106^2)</f>
        <v>2.7354662307083477</v>
      </c>
      <c r="I106">
        <f>SUM(Sayfa1!G83:G106)</f>
        <v>0</v>
      </c>
    </row>
    <row r="107" spans="1:9" x14ac:dyDescent="0.3">
      <c r="A107">
        <v>-118.5</v>
      </c>
      <c r="B107">
        <v>34.25</v>
      </c>
      <c r="C107">
        <v>2025</v>
      </c>
      <c r="D107">
        <v>1</v>
      </c>
      <c r="E107">
        <v>5</v>
      </c>
      <c r="F107">
        <f>Sayfa1!C107-273.15</f>
        <v>14.451806640625023</v>
      </c>
      <c r="G107">
        <v>71.915603637695313</v>
      </c>
      <c r="H107">
        <f>SQRT(Sayfa1!D107^2+Sayfa1!E107^2)</f>
        <v>2.7933160823481975</v>
      </c>
      <c r="I107">
        <f>SUM(Sayfa1!G84:G107)</f>
        <v>0</v>
      </c>
    </row>
    <row r="108" spans="1:9" x14ac:dyDescent="0.3">
      <c r="A108">
        <v>-118.5</v>
      </c>
      <c r="B108">
        <v>34.25</v>
      </c>
      <c r="C108">
        <v>2025</v>
      </c>
      <c r="D108">
        <v>1</v>
      </c>
      <c r="E108">
        <v>5</v>
      </c>
      <c r="F108">
        <f>Sayfa1!C108-273.15</f>
        <v>14.989648437500023</v>
      </c>
      <c r="G108">
        <v>62.360687255859375</v>
      </c>
      <c r="H108">
        <f>SQRT(Sayfa1!D108^2+Sayfa1!E108^2)</f>
        <v>2.8401295529669852</v>
      </c>
      <c r="I108">
        <f>SUM(Sayfa1!G85:G108)</f>
        <v>0</v>
      </c>
    </row>
    <row r="109" spans="1:9" x14ac:dyDescent="0.3">
      <c r="A109">
        <v>-118.5</v>
      </c>
      <c r="B109">
        <v>34.25</v>
      </c>
      <c r="C109">
        <v>2025</v>
      </c>
      <c r="D109">
        <v>1</v>
      </c>
      <c r="E109">
        <v>5</v>
      </c>
      <c r="F109">
        <f>Sayfa1!C109-273.15</f>
        <v>15.219384765625023</v>
      </c>
      <c r="G109">
        <v>63.82012939453125</v>
      </c>
      <c r="H109">
        <f>SQRT(Sayfa1!D109^2+Sayfa1!E109^2)</f>
        <v>2.7976854553395345</v>
      </c>
      <c r="I109">
        <f>SUM(Sayfa1!G86:G109)</f>
        <v>0</v>
      </c>
    </row>
    <row r="110" spans="1:9" x14ac:dyDescent="0.3">
      <c r="A110">
        <v>-118.5</v>
      </c>
      <c r="B110">
        <v>34.25</v>
      </c>
      <c r="C110">
        <v>2025</v>
      </c>
      <c r="D110">
        <v>1</v>
      </c>
      <c r="E110">
        <v>5</v>
      </c>
      <c r="F110">
        <f>Sayfa1!C110-273.15</f>
        <v>15.697778320312523</v>
      </c>
      <c r="G110">
        <v>64.600677490234375</v>
      </c>
      <c r="H110">
        <f>SQRT(Sayfa1!D110^2+Sayfa1!E110^2)</f>
        <v>2.7969436637495515</v>
      </c>
      <c r="I110">
        <f>SUM(Sayfa1!G87:G110)</f>
        <v>0</v>
      </c>
    </row>
    <row r="111" spans="1:9" x14ac:dyDescent="0.3">
      <c r="A111">
        <v>-118.5</v>
      </c>
      <c r="B111">
        <v>34.25</v>
      </c>
      <c r="C111">
        <v>2025</v>
      </c>
      <c r="D111">
        <v>1</v>
      </c>
      <c r="E111">
        <v>5</v>
      </c>
      <c r="F111">
        <f>Sayfa1!C111-273.15</f>
        <v>16.125878906250023</v>
      </c>
      <c r="G111">
        <v>65.423751831054688</v>
      </c>
      <c r="H111">
        <f>SQRT(Sayfa1!D111^2+Sayfa1!E111^2)</f>
        <v>2.8230716946773544</v>
      </c>
      <c r="I111">
        <f>SUM(Sayfa1!G88:G111)</f>
        <v>0</v>
      </c>
    </row>
    <row r="112" spans="1:9" x14ac:dyDescent="0.3">
      <c r="A112">
        <v>-118.5</v>
      </c>
      <c r="B112">
        <v>34.25</v>
      </c>
      <c r="C112">
        <v>2025</v>
      </c>
      <c r="D112">
        <v>1</v>
      </c>
      <c r="E112">
        <v>5</v>
      </c>
      <c r="F112">
        <f>Sayfa1!C112-273.15</f>
        <v>16.531762695312523</v>
      </c>
      <c r="G112">
        <v>65.9691162109375</v>
      </c>
      <c r="H112">
        <f>SQRT(Sayfa1!D112^2+Sayfa1!E112^2)</f>
        <v>2.7942744486285962</v>
      </c>
      <c r="I112">
        <f>SUM(Sayfa1!G89:G112)</f>
        <v>0</v>
      </c>
    </row>
    <row r="113" spans="1:9" x14ac:dyDescent="0.3">
      <c r="A113">
        <v>-118.5</v>
      </c>
      <c r="B113">
        <v>34.25</v>
      </c>
      <c r="C113">
        <v>2025</v>
      </c>
      <c r="D113">
        <v>1</v>
      </c>
      <c r="E113">
        <v>5</v>
      </c>
      <c r="F113">
        <f>Sayfa1!C113-273.15</f>
        <v>16.919824218750023</v>
      </c>
      <c r="G113">
        <v>66.070999145507813</v>
      </c>
      <c r="H113">
        <f>SQRT(Sayfa1!D113^2+Sayfa1!E113^2)</f>
        <v>2.8056423732132991</v>
      </c>
      <c r="I113">
        <f>SUM(Sayfa1!G90:G113)</f>
        <v>0</v>
      </c>
    </row>
    <row r="114" spans="1:9" x14ac:dyDescent="0.3">
      <c r="A114">
        <v>-118.5</v>
      </c>
      <c r="B114">
        <v>34.25</v>
      </c>
      <c r="C114">
        <v>2025</v>
      </c>
      <c r="D114">
        <v>1</v>
      </c>
      <c r="E114">
        <v>5</v>
      </c>
      <c r="F114">
        <f>Sayfa1!C114-273.15</f>
        <v>17.237695312500023</v>
      </c>
      <c r="G114">
        <v>61.65667724609375</v>
      </c>
      <c r="H114">
        <f>SQRT(Sayfa1!D114^2+Sayfa1!E114^2)</f>
        <v>2.6101299162175393</v>
      </c>
      <c r="I114">
        <f>SUM(Sayfa1!G91:G114)</f>
        <v>0</v>
      </c>
    </row>
    <row r="115" spans="1:9" x14ac:dyDescent="0.3">
      <c r="A115">
        <v>-118.5</v>
      </c>
      <c r="B115">
        <v>34.25</v>
      </c>
      <c r="C115">
        <v>2025</v>
      </c>
      <c r="D115">
        <v>1</v>
      </c>
      <c r="E115">
        <v>5</v>
      </c>
      <c r="F115">
        <f>Sayfa1!C115-273.15</f>
        <v>17.364526367187523</v>
      </c>
      <c r="G115">
        <v>47.193450927734375</v>
      </c>
      <c r="H115">
        <f>SQRT(Sayfa1!D115^2+Sayfa1!E115^2)</f>
        <v>2.4204616215059267</v>
      </c>
      <c r="I115">
        <f>SUM(Sayfa1!G92:G115)</f>
        <v>0</v>
      </c>
    </row>
    <row r="116" spans="1:9" x14ac:dyDescent="0.3">
      <c r="A116">
        <v>-118.5</v>
      </c>
      <c r="B116">
        <v>34.25</v>
      </c>
      <c r="C116">
        <v>2025</v>
      </c>
      <c r="D116">
        <v>1</v>
      </c>
      <c r="E116">
        <v>5</v>
      </c>
      <c r="F116">
        <f>Sayfa1!C116-273.15</f>
        <v>17.264306640625023</v>
      </c>
      <c r="G116">
        <v>33.281356811523438</v>
      </c>
      <c r="H116">
        <f>SQRT(Sayfa1!D116^2+Sayfa1!E116^2)</f>
        <v>2.1525415351400219</v>
      </c>
      <c r="I116">
        <f>SUM(Sayfa1!G93:G116)</f>
        <v>0</v>
      </c>
    </row>
    <row r="117" spans="1:9" x14ac:dyDescent="0.3">
      <c r="A117">
        <v>-118.5</v>
      </c>
      <c r="B117">
        <v>34.25</v>
      </c>
      <c r="C117">
        <v>2025</v>
      </c>
      <c r="D117">
        <v>1</v>
      </c>
      <c r="E117">
        <v>5</v>
      </c>
      <c r="F117">
        <f>Sayfa1!C117-273.15</f>
        <v>19.458032226562523</v>
      </c>
      <c r="G117">
        <v>23.031234741210938</v>
      </c>
      <c r="H117">
        <f>SQRT(Sayfa1!D117^2+Sayfa1!E117^2)</f>
        <v>2.0542351289665639</v>
      </c>
      <c r="I117">
        <f>SUM(Sayfa1!G94:G117)</f>
        <v>0</v>
      </c>
    </row>
    <row r="118" spans="1:9" x14ac:dyDescent="0.3">
      <c r="A118">
        <v>-118.5</v>
      </c>
      <c r="B118">
        <v>34.25</v>
      </c>
      <c r="C118">
        <v>2025</v>
      </c>
      <c r="D118">
        <v>1</v>
      </c>
      <c r="E118">
        <v>5</v>
      </c>
      <c r="F118">
        <f>Sayfa1!C118-273.15</f>
        <v>21.232812500000023</v>
      </c>
      <c r="G118">
        <v>18.191192626953125</v>
      </c>
      <c r="H118">
        <f>SQRT(Sayfa1!D118^2+Sayfa1!E118^2)</f>
        <v>2.132435091535092</v>
      </c>
      <c r="I118">
        <f>SUM(Sayfa1!G95:G118)</f>
        <v>0</v>
      </c>
    </row>
    <row r="119" spans="1:9" x14ac:dyDescent="0.3">
      <c r="A119">
        <v>-118.5</v>
      </c>
      <c r="B119">
        <v>34.25</v>
      </c>
      <c r="C119">
        <v>2025</v>
      </c>
      <c r="D119">
        <v>1</v>
      </c>
      <c r="E119">
        <v>5</v>
      </c>
      <c r="F119">
        <f>Sayfa1!C119-273.15</f>
        <v>22.458032226562523</v>
      </c>
      <c r="G119">
        <v>15.810587882995605</v>
      </c>
      <c r="H119">
        <f>SQRT(Sayfa1!D119^2+Sayfa1!E119^2)</f>
        <v>2.2440682268582584</v>
      </c>
      <c r="I119">
        <f>SUM(Sayfa1!G96:G119)</f>
        <v>0</v>
      </c>
    </row>
    <row r="120" spans="1:9" x14ac:dyDescent="0.3">
      <c r="A120">
        <v>-118.5</v>
      </c>
      <c r="B120">
        <v>34.25</v>
      </c>
      <c r="C120">
        <v>2025</v>
      </c>
      <c r="D120">
        <v>1</v>
      </c>
      <c r="E120">
        <v>5</v>
      </c>
      <c r="F120">
        <f>Sayfa1!C120-273.15</f>
        <v>22.902612304687523</v>
      </c>
      <c r="G120">
        <v>14.74729061126709</v>
      </c>
      <c r="H120">
        <f>SQRT(Sayfa1!D120^2+Sayfa1!E120^2)</f>
        <v>1.2358350254433645</v>
      </c>
      <c r="I120">
        <f>SUM(Sayfa1!G97:G120)</f>
        <v>0</v>
      </c>
    </row>
    <row r="121" spans="1:9" x14ac:dyDescent="0.3">
      <c r="A121">
        <v>-118.5</v>
      </c>
      <c r="B121">
        <v>34.25</v>
      </c>
      <c r="C121">
        <v>2025</v>
      </c>
      <c r="D121">
        <v>1</v>
      </c>
      <c r="E121">
        <v>5</v>
      </c>
      <c r="F121">
        <f>Sayfa1!C121-273.15</f>
        <v>23.224633789062523</v>
      </c>
      <c r="G121">
        <v>14.792272567749023</v>
      </c>
      <c r="H121">
        <f>SQRT(Sayfa1!D121^2+Sayfa1!E121^2)</f>
        <v>1.1160937413152285</v>
      </c>
      <c r="I121">
        <f>SUM(Sayfa1!G98:G121)</f>
        <v>0</v>
      </c>
    </row>
    <row r="122" spans="1:9" x14ac:dyDescent="0.3">
      <c r="A122">
        <v>-118.5</v>
      </c>
      <c r="B122">
        <v>34.25</v>
      </c>
      <c r="C122">
        <v>2025</v>
      </c>
      <c r="D122">
        <v>1</v>
      </c>
      <c r="E122">
        <v>6</v>
      </c>
      <c r="F122">
        <f>Sayfa1!C122-273.15</f>
        <v>23.108178710937523</v>
      </c>
      <c r="G122">
        <v>17.777462005615234</v>
      </c>
      <c r="H122">
        <f>SQRT(Sayfa1!D122^2+Sayfa1!E122^2)</f>
        <v>0.92103435109063636</v>
      </c>
      <c r="I122">
        <f>SUM(Sayfa1!G99:G122)</f>
        <v>0</v>
      </c>
    </row>
    <row r="123" spans="1:9" x14ac:dyDescent="0.3">
      <c r="A123">
        <v>-118.5</v>
      </c>
      <c r="B123">
        <v>34.25</v>
      </c>
      <c r="C123">
        <v>2025</v>
      </c>
      <c r="D123">
        <v>1</v>
      </c>
      <c r="E123">
        <v>6</v>
      </c>
      <c r="F123">
        <f>Sayfa1!C123-273.15</f>
        <v>22.622827148437523</v>
      </c>
      <c r="G123">
        <v>21.973342895507813</v>
      </c>
      <c r="H123">
        <f>SQRT(Sayfa1!D123^2+Sayfa1!E123^2)</f>
        <v>1.3365900973866682</v>
      </c>
      <c r="I123">
        <f>SUM(Sayfa1!G100:G123)</f>
        <v>0</v>
      </c>
    </row>
    <row r="124" spans="1:9" x14ac:dyDescent="0.3">
      <c r="A124">
        <v>-118.5</v>
      </c>
      <c r="B124">
        <v>34.25</v>
      </c>
      <c r="C124">
        <v>2025</v>
      </c>
      <c r="D124">
        <v>1</v>
      </c>
      <c r="E124">
        <v>6</v>
      </c>
      <c r="F124">
        <f>Sayfa1!C124-273.15</f>
        <v>22.152185058593773</v>
      </c>
      <c r="G124">
        <v>24.917526245117188</v>
      </c>
      <c r="H124">
        <f>SQRT(Sayfa1!D124^2+Sayfa1!E124^2)</f>
        <v>1.7584845217953573</v>
      </c>
      <c r="I124">
        <f>SUM(Sayfa1!G101:G124)</f>
        <v>0</v>
      </c>
    </row>
    <row r="125" spans="1:9" x14ac:dyDescent="0.3">
      <c r="A125">
        <v>-118.5</v>
      </c>
      <c r="B125">
        <v>34.25</v>
      </c>
      <c r="C125">
        <v>2025</v>
      </c>
      <c r="D125">
        <v>1</v>
      </c>
      <c r="E125">
        <v>6</v>
      </c>
      <c r="F125">
        <f>Sayfa1!C125-273.15</f>
        <v>21.663232421875023</v>
      </c>
      <c r="G125">
        <v>27.581619262695313</v>
      </c>
      <c r="H125">
        <f>SQRT(Sayfa1!D125^2+Sayfa1!E125^2)</f>
        <v>2.2139610061677031</v>
      </c>
      <c r="I125">
        <f>SUM(Sayfa1!G102:G125)</f>
        <v>0</v>
      </c>
    </row>
    <row r="126" spans="1:9" x14ac:dyDescent="0.3">
      <c r="A126">
        <v>-118.5</v>
      </c>
      <c r="B126">
        <v>34.25</v>
      </c>
      <c r="C126">
        <v>2025</v>
      </c>
      <c r="D126">
        <v>1</v>
      </c>
      <c r="E126">
        <v>6</v>
      </c>
      <c r="F126">
        <f>Sayfa1!C126-273.15</f>
        <v>21.334924316406273</v>
      </c>
      <c r="G126">
        <v>33.1806640625</v>
      </c>
      <c r="H126">
        <f>SQRT(Sayfa1!D126^2+Sayfa1!E126^2)</f>
        <v>2.4276938030787916</v>
      </c>
      <c r="I126">
        <f>SUM(Sayfa1!G103:G126)</f>
        <v>0</v>
      </c>
    </row>
    <row r="127" spans="1:9" x14ac:dyDescent="0.3">
      <c r="A127">
        <v>-118.5</v>
      </c>
      <c r="B127">
        <v>34.25</v>
      </c>
      <c r="C127">
        <v>2025</v>
      </c>
      <c r="D127">
        <v>1</v>
      </c>
      <c r="E127">
        <v>6</v>
      </c>
      <c r="F127">
        <f>Sayfa1!C127-273.15</f>
        <v>21.039971923828148</v>
      </c>
      <c r="G127">
        <v>40.3878173828125</v>
      </c>
      <c r="H127">
        <f>SQRT(Sayfa1!D127^2+Sayfa1!E127^2)</f>
        <v>2.5103906258661808</v>
      </c>
      <c r="I127">
        <f>SUM(Sayfa1!G104:G127)</f>
        <v>0</v>
      </c>
    </row>
    <row r="128" spans="1:9" x14ac:dyDescent="0.3">
      <c r="A128">
        <v>-118.5</v>
      </c>
      <c r="B128">
        <v>34.25</v>
      </c>
      <c r="C128">
        <v>2025</v>
      </c>
      <c r="D128">
        <v>1</v>
      </c>
      <c r="E128">
        <v>6</v>
      </c>
      <c r="F128">
        <f>Sayfa1!C128-273.15</f>
        <v>20.839776611328148</v>
      </c>
      <c r="G128">
        <v>44.038970947265625</v>
      </c>
      <c r="H128">
        <f>SQRT(Sayfa1!D128^2+Sayfa1!E128^2)</f>
        <v>2.5791051786329491</v>
      </c>
      <c r="I128">
        <f>SUM(Sayfa1!G105:G128)</f>
        <v>0</v>
      </c>
    </row>
    <row r="129" spans="1:9" x14ac:dyDescent="0.3">
      <c r="A129">
        <v>-118.5</v>
      </c>
      <c r="B129">
        <v>34.25</v>
      </c>
      <c r="C129">
        <v>2025</v>
      </c>
      <c r="D129">
        <v>1</v>
      </c>
      <c r="E129">
        <v>6</v>
      </c>
      <c r="F129">
        <f>Sayfa1!C129-273.15</f>
        <v>20.771264648437523</v>
      </c>
      <c r="G129">
        <v>47.020294189453125</v>
      </c>
      <c r="H129">
        <f>SQRT(Sayfa1!D129^2+Sayfa1!E129^2)</f>
        <v>2.6519187578330743</v>
      </c>
      <c r="I129">
        <f>SUM(Sayfa1!G106:G129)</f>
        <v>0</v>
      </c>
    </row>
    <row r="130" spans="1:9" x14ac:dyDescent="0.3">
      <c r="A130">
        <v>-118.5</v>
      </c>
      <c r="B130">
        <v>34.25</v>
      </c>
      <c r="C130">
        <v>2025</v>
      </c>
      <c r="D130">
        <v>1</v>
      </c>
      <c r="E130">
        <v>6</v>
      </c>
      <c r="F130">
        <f>Sayfa1!C130-273.15</f>
        <v>20.622705078125023</v>
      </c>
      <c r="G130">
        <v>49.075302124023438</v>
      </c>
      <c r="H130">
        <f>SQRT(Sayfa1!D130^2+Sayfa1!E130^2)</f>
        <v>2.6623906038089338</v>
      </c>
      <c r="I130">
        <f>SUM(Sayfa1!G107:G130)</f>
        <v>0</v>
      </c>
    </row>
    <row r="131" spans="1:9" x14ac:dyDescent="0.3">
      <c r="A131">
        <v>-118.5</v>
      </c>
      <c r="B131">
        <v>34.25</v>
      </c>
      <c r="C131">
        <v>2025</v>
      </c>
      <c r="D131">
        <v>1</v>
      </c>
      <c r="E131">
        <v>6</v>
      </c>
      <c r="F131">
        <f>Sayfa1!C131-273.15</f>
        <v>20.386071777343773</v>
      </c>
      <c r="G131">
        <v>51.504074096679688</v>
      </c>
      <c r="H131">
        <f>SQRT(Sayfa1!D131^2+Sayfa1!E131^2)</f>
        <v>2.6625936880839398</v>
      </c>
      <c r="I131">
        <f>SUM(Sayfa1!G108:G131)</f>
        <v>0</v>
      </c>
    </row>
    <row r="132" spans="1:9" x14ac:dyDescent="0.3">
      <c r="A132">
        <v>-118.5</v>
      </c>
      <c r="B132">
        <v>34.25</v>
      </c>
      <c r="C132">
        <v>2025</v>
      </c>
      <c r="D132">
        <v>1</v>
      </c>
      <c r="E132">
        <v>6</v>
      </c>
      <c r="F132">
        <f>Sayfa1!C132-273.15</f>
        <v>20.091943359375023</v>
      </c>
      <c r="G132">
        <v>50.906295776367188</v>
      </c>
      <c r="H132">
        <f>SQRT(Sayfa1!D132^2+Sayfa1!E132^2)</f>
        <v>2.6530589044513966</v>
      </c>
      <c r="I132">
        <f>SUM(Sayfa1!G109:G132)</f>
        <v>0</v>
      </c>
    </row>
    <row r="133" spans="1:9" x14ac:dyDescent="0.3">
      <c r="A133">
        <v>-118.5</v>
      </c>
      <c r="B133">
        <v>34.25</v>
      </c>
      <c r="C133">
        <v>2025</v>
      </c>
      <c r="D133">
        <v>1</v>
      </c>
      <c r="E133">
        <v>6</v>
      </c>
      <c r="F133">
        <f>Sayfa1!C133-273.15</f>
        <v>19.821679687500023</v>
      </c>
      <c r="G133">
        <v>55.2940673828125</v>
      </c>
      <c r="H133">
        <f>SQRT(Sayfa1!D133^2+Sayfa1!E133^2)</f>
        <v>2.5606725060063171</v>
      </c>
      <c r="I133">
        <f>SUM(Sayfa1!G110:G133)</f>
        <v>0</v>
      </c>
    </row>
    <row r="134" spans="1:9" x14ac:dyDescent="0.3">
      <c r="A134">
        <v>-118.5</v>
      </c>
      <c r="B134">
        <v>34.25</v>
      </c>
      <c r="C134">
        <v>2025</v>
      </c>
      <c r="D134">
        <v>1</v>
      </c>
      <c r="E134">
        <v>6</v>
      </c>
      <c r="F134">
        <f>Sayfa1!C134-273.15</f>
        <v>19.694726562500023</v>
      </c>
      <c r="G134">
        <v>58.047744750976563</v>
      </c>
      <c r="H134">
        <f>SQRT(Sayfa1!D134^2+Sayfa1!E134^2)</f>
        <v>2.6041030378962646</v>
      </c>
      <c r="I134">
        <f>SUM(Sayfa1!G111:G134)</f>
        <v>0</v>
      </c>
    </row>
    <row r="135" spans="1:9" x14ac:dyDescent="0.3">
      <c r="A135">
        <v>-118.5</v>
      </c>
      <c r="B135">
        <v>34.25</v>
      </c>
      <c r="C135">
        <v>2025</v>
      </c>
      <c r="D135">
        <v>1</v>
      </c>
      <c r="E135">
        <v>6</v>
      </c>
      <c r="F135">
        <f>Sayfa1!C135-273.15</f>
        <v>19.671899414062523</v>
      </c>
      <c r="G135">
        <v>62.243301391601563</v>
      </c>
      <c r="H135">
        <f>SQRT(Sayfa1!D135^2+Sayfa1!E135^2)</f>
        <v>2.6723822532986139</v>
      </c>
      <c r="I135">
        <f>SUM(Sayfa1!G112:G135)</f>
        <v>0</v>
      </c>
    </row>
    <row r="136" spans="1:9" x14ac:dyDescent="0.3">
      <c r="A136">
        <v>-118.5</v>
      </c>
      <c r="B136">
        <v>34.25</v>
      </c>
      <c r="C136">
        <v>2025</v>
      </c>
      <c r="D136">
        <v>1</v>
      </c>
      <c r="E136">
        <v>6</v>
      </c>
      <c r="F136">
        <f>Sayfa1!C136-273.15</f>
        <v>19.726220703125023</v>
      </c>
      <c r="G136">
        <v>64.514877319335938</v>
      </c>
      <c r="H136">
        <f>SQRT(Sayfa1!D136^2+Sayfa1!E136^2)</f>
        <v>2.6857029642780481</v>
      </c>
      <c r="I136">
        <f>SUM(Sayfa1!G113:G136)</f>
        <v>0</v>
      </c>
    </row>
    <row r="137" spans="1:9" x14ac:dyDescent="0.3">
      <c r="A137">
        <v>-118.5</v>
      </c>
      <c r="B137">
        <v>34.25</v>
      </c>
      <c r="C137">
        <v>2025</v>
      </c>
      <c r="D137">
        <v>1</v>
      </c>
      <c r="E137">
        <v>6</v>
      </c>
      <c r="F137">
        <f>Sayfa1!C137-273.15</f>
        <v>19.507226562500023</v>
      </c>
      <c r="G137">
        <v>65.305374145507813</v>
      </c>
      <c r="H137">
        <f>SQRT(Sayfa1!D137^2+Sayfa1!E137^2)</f>
        <v>2.6118525001843875</v>
      </c>
      <c r="I137">
        <f>SUM(Sayfa1!G114:G137)</f>
        <v>0</v>
      </c>
    </row>
    <row r="138" spans="1:9" x14ac:dyDescent="0.3">
      <c r="A138">
        <v>-118.5</v>
      </c>
      <c r="B138">
        <v>34.25</v>
      </c>
      <c r="C138">
        <v>2025</v>
      </c>
      <c r="D138">
        <v>1</v>
      </c>
      <c r="E138">
        <v>6</v>
      </c>
      <c r="F138">
        <f>Sayfa1!C138-273.15</f>
        <v>19.258203125000023</v>
      </c>
      <c r="G138">
        <v>61.203704833984375</v>
      </c>
      <c r="H138">
        <f>SQRT(Sayfa1!D138^2+Sayfa1!E138^2)</f>
        <v>2.1729363275453042</v>
      </c>
      <c r="I138">
        <f>SUM(Sayfa1!G115:G138)</f>
        <v>0</v>
      </c>
    </row>
    <row r="139" spans="1:9" x14ac:dyDescent="0.3">
      <c r="A139">
        <v>-118.5</v>
      </c>
      <c r="B139">
        <v>34.25</v>
      </c>
      <c r="C139">
        <v>2025</v>
      </c>
      <c r="D139">
        <v>1</v>
      </c>
      <c r="E139">
        <v>6</v>
      </c>
      <c r="F139">
        <f>Sayfa1!C139-273.15</f>
        <v>19.113183593750023</v>
      </c>
      <c r="G139">
        <v>48.2188720703125</v>
      </c>
      <c r="H139">
        <f>SQRT(Sayfa1!D139^2+Sayfa1!E139^2)</f>
        <v>1.6403233535373778</v>
      </c>
      <c r="I139">
        <f>SUM(Sayfa1!G116:G139)</f>
        <v>0</v>
      </c>
    </row>
    <row r="140" spans="1:9" x14ac:dyDescent="0.3">
      <c r="A140">
        <v>-118.5</v>
      </c>
      <c r="B140">
        <v>34.25</v>
      </c>
      <c r="C140">
        <v>2025</v>
      </c>
      <c r="D140">
        <v>1</v>
      </c>
      <c r="E140">
        <v>6</v>
      </c>
      <c r="F140">
        <f>Sayfa1!C140-273.15</f>
        <v>18.938867187500023</v>
      </c>
      <c r="G140">
        <v>34.952911376953125</v>
      </c>
      <c r="H140">
        <f>SQRT(Sayfa1!D140^2+Sayfa1!E140^2)</f>
        <v>1.1173978304107965</v>
      </c>
      <c r="I140">
        <f>SUM(Sayfa1!G117:G140)</f>
        <v>0</v>
      </c>
    </row>
    <row r="141" spans="1:9" x14ac:dyDescent="0.3">
      <c r="A141">
        <v>-118.5</v>
      </c>
      <c r="B141">
        <v>34.25</v>
      </c>
      <c r="C141">
        <v>2025</v>
      </c>
      <c r="D141">
        <v>1</v>
      </c>
      <c r="E141">
        <v>6</v>
      </c>
      <c r="F141">
        <f>Sayfa1!C141-273.15</f>
        <v>20.724755859375023</v>
      </c>
      <c r="G141">
        <v>27.649261474609375</v>
      </c>
      <c r="H141">
        <f>SQRT(Sayfa1!D141^2+Sayfa1!E141^2)</f>
        <v>0.26310002737752541</v>
      </c>
      <c r="I141">
        <f>SUM(Sayfa1!G118:G141)</f>
        <v>0</v>
      </c>
    </row>
    <row r="142" spans="1:9" x14ac:dyDescent="0.3">
      <c r="A142">
        <v>-118.5</v>
      </c>
      <c r="B142">
        <v>34.25</v>
      </c>
      <c r="C142">
        <v>2025</v>
      </c>
      <c r="D142">
        <v>1</v>
      </c>
      <c r="E142">
        <v>6</v>
      </c>
      <c r="F142">
        <f>Sayfa1!C142-273.15</f>
        <v>22.016625976562523</v>
      </c>
      <c r="G142">
        <v>24.341171264648438</v>
      </c>
      <c r="H142">
        <f>SQRT(Sayfa1!D142^2+Sayfa1!E142^2)</f>
        <v>1.1034438989757451</v>
      </c>
      <c r="I142">
        <f>SUM(Sayfa1!G119:G142)</f>
        <v>0</v>
      </c>
    </row>
    <row r="143" spans="1:9" x14ac:dyDescent="0.3">
      <c r="A143">
        <v>-118.5</v>
      </c>
      <c r="B143">
        <v>34.25</v>
      </c>
      <c r="C143">
        <v>2025</v>
      </c>
      <c r="D143">
        <v>1</v>
      </c>
      <c r="E143">
        <v>6</v>
      </c>
      <c r="F143">
        <f>Sayfa1!C143-273.15</f>
        <v>22.577783203125023</v>
      </c>
      <c r="G143">
        <v>23.25921630859375</v>
      </c>
      <c r="H143">
        <f>SQRT(Sayfa1!D143^2+Sayfa1!E143^2)</f>
        <v>1.4572051640565205</v>
      </c>
      <c r="I143">
        <f>SUM(Sayfa1!G120:G143)</f>
        <v>0</v>
      </c>
    </row>
    <row r="144" spans="1:9" x14ac:dyDescent="0.3">
      <c r="A144">
        <v>-118.5</v>
      </c>
      <c r="B144">
        <v>34.25</v>
      </c>
      <c r="C144">
        <v>2025</v>
      </c>
      <c r="D144">
        <v>1</v>
      </c>
      <c r="E144">
        <v>6</v>
      </c>
      <c r="F144">
        <f>Sayfa1!C144-273.15</f>
        <v>22.613305664062523</v>
      </c>
      <c r="G144">
        <v>23.7998046875</v>
      </c>
      <c r="H144">
        <f>SQRT(Sayfa1!D144^2+Sayfa1!E144^2)</f>
        <v>1.7261382049964795</v>
      </c>
      <c r="I144">
        <f>SUM(Sayfa1!G121:G144)</f>
        <v>0</v>
      </c>
    </row>
    <row r="145" spans="1:9" x14ac:dyDescent="0.3">
      <c r="A145">
        <v>-118.5</v>
      </c>
      <c r="B145">
        <v>34.25</v>
      </c>
      <c r="C145">
        <v>2025</v>
      </c>
      <c r="D145">
        <v>1</v>
      </c>
      <c r="E145">
        <v>6</v>
      </c>
      <c r="F145">
        <f>Sayfa1!C145-273.15</f>
        <v>22.363671875000023</v>
      </c>
      <c r="G145">
        <v>25.359893798828125</v>
      </c>
      <c r="H145">
        <f>SQRT(Sayfa1!D145^2+Sayfa1!E145^2)</f>
        <v>1.6740042640801729</v>
      </c>
      <c r="I145">
        <f>SUM(Sayfa1!G122:G145)</f>
        <v>0</v>
      </c>
    </row>
    <row r="146" spans="1:9" x14ac:dyDescent="0.3">
      <c r="A146">
        <v>-118.5</v>
      </c>
      <c r="B146">
        <v>34.25</v>
      </c>
      <c r="C146">
        <v>2025</v>
      </c>
      <c r="D146">
        <v>1</v>
      </c>
      <c r="E146">
        <v>7</v>
      </c>
      <c r="F146">
        <f>Sayfa1!C146-273.15</f>
        <v>21.586816406250023</v>
      </c>
      <c r="G146">
        <v>28.642562866210938</v>
      </c>
      <c r="H146">
        <f>SQRT(Sayfa1!D146^2+Sayfa1!E146^2)</f>
        <v>0.91139908382300083</v>
      </c>
      <c r="I146">
        <f>SUM(Sayfa1!G123:G146)</f>
        <v>0</v>
      </c>
    </row>
    <row r="147" spans="1:9" x14ac:dyDescent="0.3">
      <c r="A147">
        <v>-118.5</v>
      </c>
      <c r="B147">
        <v>34.25</v>
      </c>
      <c r="C147">
        <v>2025</v>
      </c>
      <c r="D147">
        <v>1</v>
      </c>
      <c r="E147">
        <v>7</v>
      </c>
      <c r="F147">
        <f>Sayfa1!C147-273.15</f>
        <v>20.802392578125023</v>
      </c>
      <c r="G147">
        <v>32.990432739257813</v>
      </c>
      <c r="H147">
        <f>SQRT(Sayfa1!D147^2+Sayfa1!E147^2)</f>
        <v>0.49606042284420693</v>
      </c>
      <c r="I147">
        <f>SUM(Sayfa1!G124:G147)</f>
        <v>0</v>
      </c>
    </row>
    <row r="148" spans="1:9" x14ac:dyDescent="0.3">
      <c r="A148">
        <v>-118.5</v>
      </c>
      <c r="B148">
        <v>34.25</v>
      </c>
      <c r="C148">
        <v>2025</v>
      </c>
      <c r="D148">
        <v>1</v>
      </c>
      <c r="E148">
        <v>7</v>
      </c>
      <c r="F148">
        <f>Sayfa1!C148-273.15</f>
        <v>20.029077148437523</v>
      </c>
      <c r="G148">
        <v>37.69879150390625</v>
      </c>
      <c r="H148">
        <f>SQRT(Sayfa1!D148^2+Sayfa1!E148^2)</f>
        <v>0.57710424446047515</v>
      </c>
      <c r="I148">
        <f>SUM(Sayfa1!G125:G148)</f>
        <v>0</v>
      </c>
    </row>
    <row r="149" spans="1:9" x14ac:dyDescent="0.3">
      <c r="A149">
        <v>-118.5</v>
      </c>
      <c r="B149">
        <v>34.25</v>
      </c>
      <c r="C149">
        <v>2025</v>
      </c>
      <c r="D149">
        <v>1</v>
      </c>
      <c r="E149">
        <v>7</v>
      </c>
      <c r="F149">
        <f>Sayfa1!C149-273.15</f>
        <v>19.174462890625023</v>
      </c>
      <c r="G149">
        <v>40.850799560546875</v>
      </c>
      <c r="H149">
        <f>SQRT(Sayfa1!D149^2+Sayfa1!E149^2)</f>
        <v>1.1225821085860916</v>
      </c>
      <c r="I149">
        <f>SUM(Sayfa1!G126:G149)</f>
        <v>0</v>
      </c>
    </row>
    <row r="150" spans="1:9" x14ac:dyDescent="0.3">
      <c r="A150">
        <v>-118.5</v>
      </c>
      <c r="B150">
        <v>34.25</v>
      </c>
      <c r="C150">
        <v>2025</v>
      </c>
      <c r="D150">
        <v>1</v>
      </c>
      <c r="E150">
        <v>7</v>
      </c>
      <c r="F150">
        <f>Sayfa1!C150-273.15</f>
        <v>18.366601562500023</v>
      </c>
      <c r="G150">
        <v>44.484237670898438</v>
      </c>
      <c r="H150">
        <f>SQRT(Sayfa1!D150^2+Sayfa1!E150^2)</f>
        <v>1.6509138283848057</v>
      </c>
      <c r="I150">
        <f>SUM(Sayfa1!G127:G150)</f>
        <v>0</v>
      </c>
    </row>
    <row r="151" spans="1:9" x14ac:dyDescent="0.3">
      <c r="A151">
        <v>-118.5</v>
      </c>
      <c r="B151">
        <v>34.25</v>
      </c>
      <c r="C151">
        <v>2025</v>
      </c>
      <c r="D151">
        <v>1</v>
      </c>
      <c r="E151">
        <v>7</v>
      </c>
      <c r="F151">
        <f>Sayfa1!C151-273.15</f>
        <v>17.823632812500023</v>
      </c>
      <c r="G151">
        <v>49.833831787109375</v>
      </c>
      <c r="H151">
        <f>SQRT(Sayfa1!D151^2+Sayfa1!E151^2)</f>
        <v>2.0290938755207044</v>
      </c>
      <c r="I151">
        <f>SUM(Sayfa1!G128:G151)</f>
        <v>0</v>
      </c>
    </row>
    <row r="152" spans="1:9" x14ac:dyDescent="0.3">
      <c r="A152">
        <v>-118.5</v>
      </c>
      <c r="B152">
        <v>34.25</v>
      </c>
      <c r="C152">
        <v>2025</v>
      </c>
      <c r="D152">
        <v>1</v>
      </c>
      <c r="E152">
        <v>7</v>
      </c>
      <c r="F152">
        <f>Sayfa1!C152-273.15</f>
        <v>17.094384765625023</v>
      </c>
      <c r="G152">
        <v>54.50152587890625</v>
      </c>
      <c r="H152">
        <f>SQRT(Sayfa1!D152^2+Sayfa1!E152^2)</f>
        <v>2.2041791726663971</v>
      </c>
      <c r="I152">
        <f>SUM(Sayfa1!G129:G152)</f>
        <v>0</v>
      </c>
    </row>
    <row r="153" spans="1:9" x14ac:dyDescent="0.3">
      <c r="A153">
        <v>-118.5</v>
      </c>
      <c r="B153">
        <v>34.25</v>
      </c>
      <c r="C153">
        <v>2025</v>
      </c>
      <c r="D153">
        <v>1</v>
      </c>
      <c r="E153">
        <v>7</v>
      </c>
      <c r="F153">
        <f>Sayfa1!C153-273.15</f>
        <v>16.489587402343773</v>
      </c>
      <c r="G153">
        <v>58.96136474609375</v>
      </c>
      <c r="H153">
        <f>SQRT(Sayfa1!D153^2+Sayfa1!E153^2)</f>
        <v>2.4440580586151133</v>
      </c>
      <c r="I153">
        <f>SUM(Sayfa1!G130:G153)</f>
        <v>0</v>
      </c>
    </row>
    <row r="154" spans="1:9" x14ac:dyDescent="0.3">
      <c r="A154">
        <v>-118.5</v>
      </c>
      <c r="B154">
        <v>34.25</v>
      </c>
      <c r="C154">
        <v>2025</v>
      </c>
      <c r="D154">
        <v>1</v>
      </c>
      <c r="E154">
        <v>7</v>
      </c>
      <c r="F154">
        <f>Sayfa1!C154-273.15</f>
        <v>15.754541015625023</v>
      </c>
      <c r="G154">
        <v>63.819717407226563</v>
      </c>
      <c r="H154">
        <f>SQRT(Sayfa1!D154^2+Sayfa1!E154^2)</f>
        <v>2.5661159103748972</v>
      </c>
      <c r="I154">
        <f>SUM(Sayfa1!G131:G154)</f>
        <v>0</v>
      </c>
    </row>
    <row r="155" spans="1:9" x14ac:dyDescent="0.3">
      <c r="A155">
        <v>-118.5</v>
      </c>
      <c r="B155">
        <v>34.25</v>
      </c>
      <c r="C155">
        <v>2025</v>
      </c>
      <c r="D155">
        <v>1</v>
      </c>
      <c r="E155">
        <v>7</v>
      </c>
      <c r="F155">
        <f>Sayfa1!C155-273.15</f>
        <v>15.096276855468773</v>
      </c>
      <c r="G155">
        <v>68.972640991210938</v>
      </c>
      <c r="H155">
        <f>SQRT(Sayfa1!D155^2+Sayfa1!E155^2)</f>
        <v>2.7084931282373139</v>
      </c>
      <c r="I155">
        <f>SUM(Sayfa1!G132:G155)</f>
        <v>0</v>
      </c>
    </row>
    <row r="156" spans="1:9" x14ac:dyDescent="0.3">
      <c r="A156">
        <v>-118.5</v>
      </c>
      <c r="B156">
        <v>34.25</v>
      </c>
      <c r="C156">
        <v>2025</v>
      </c>
      <c r="D156">
        <v>1</v>
      </c>
      <c r="E156">
        <v>7</v>
      </c>
      <c r="F156">
        <f>Sayfa1!C156-273.15</f>
        <v>15.715844726562523</v>
      </c>
      <c r="G156">
        <v>63.6683349609375</v>
      </c>
      <c r="H156">
        <f>SQRT(Sayfa1!D156^2+Sayfa1!E156^2)</f>
        <v>2.6519935757554909</v>
      </c>
      <c r="I156">
        <f>SUM(Sayfa1!G133:G156)</f>
        <v>0</v>
      </c>
    </row>
    <row r="157" spans="1:9" x14ac:dyDescent="0.3">
      <c r="A157">
        <v>-118.5</v>
      </c>
      <c r="B157">
        <v>34.25</v>
      </c>
      <c r="C157">
        <v>2025</v>
      </c>
      <c r="D157">
        <v>1</v>
      </c>
      <c r="E157">
        <v>7</v>
      </c>
      <c r="F157">
        <f>Sayfa1!C157-273.15</f>
        <v>15.066796875000023</v>
      </c>
      <c r="G157">
        <v>67.428955078125</v>
      </c>
      <c r="H157">
        <f>SQRT(Sayfa1!D157^2+Sayfa1!E157^2)</f>
        <v>2.8859096589040218</v>
      </c>
      <c r="I157">
        <f>SUM(Sayfa1!G134:G157)</f>
        <v>0</v>
      </c>
    </row>
    <row r="158" spans="1:9" x14ac:dyDescent="0.3">
      <c r="A158">
        <v>-118.5</v>
      </c>
      <c r="B158">
        <v>34.25</v>
      </c>
      <c r="C158">
        <v>2025</v>
      </c>
      <c r="D158">
        <v>1</v>
      </c>
      <c r="E158">
        <v>7</v>
      </c>
      <c r="F158">
        <f>Sayfa1!C158-273.15</f>
        <v>15.321618652343773</v>
      </c>
      <c r="G158">
        <v>70.121200561523438</v>
      </c>
      <c r="H158">
        <f>SQRT(Sayfa1!D158^2+Sayfa1!E158^2)</f>
        <v>2.8840791448264755</v>
      </c>
      <c r="I158">
        <f>SUM(Sayfa1!G135:G158)</f>
        <v>0</v>
      </c>
    </row>
    <row r="159" spans="1:9" x14ac:dyDescent="0.3">
      <c r="A159">
        <v>-118.5</v>
      </c>
      <c r="B159">
        <v>34.25</v>
      </c>
      <c r="C159">
        <v>2025</v>
      </c>
      <c r="D159">
        <v>1</v>
      </c>
      <c r="E159">
        <v>7</v>
      </c>
      <c r="F159">
        <f>Sayfa1!C159-273.15</f>
        <v>16.074365234375023</v>
      </c>
      <c r="G159">
        <v>70.561981201171875</v>
      </c>
      <c r="H159">
        <f>SQRT(Sayfa1!D159^2+Sayfa1!E159^2)</f>
        <v>2.9467671055604052</v>
      </c>
      <c r="I159">
        <f>SUM(Sayfa1!G136:G159)</f>
        <v>0</v>
      </c>
    </row>
    <row r="160" spans="1:9" x14ac:dyDescent="0.3">
      <c r="A160">
        <v>-118.5</v>
      </c>
      <c r="B160">
        <v>34.25</v>
      </c>
      <c r="C160">
        <v>2025</v>
      </c>
      <c r="D160">
        <v>1</v>
      </c>
      <c r="E160">
        <v>7</v>
      </c>
      <c r="F160">
        <f>Sayfa1!C160-273.15</f>
        <v>15.923120117187523</v>
      </c>
      <c r="G160">
        <v>68.047149658203125</v>
      </c>
      <c r="H160">
        <f>SQRT(Sayfa1!D160^2+Sayfa1!E160^2)</f>
        <v>3.3616674997280898</v>
      </c>
      <c r="I160">
        <f>SUM(Sayfa1!G137:G160)</f>
        <v>1.430511474609375E-3</v>
      </c>
    </row>
    <row r="161" spans="1:9" x14ac:dyDescent="0.3">
      <c r="A161">
        <v>-118.5</v>
      </c>
      <c r="B161">
        <v>34.25</v>
      </c>
      <c r="C161">
        <v>2025</v>
      </c>
      <c r="D161">
        <v>1</v>
      </c>
      <c r="E161">
        <v>7</v>
      </c>
      <c r="F161">
        <f>Sayfa1!C161-273.15</f>
        <v>15.383813476562523</v>
      </c>
      <c r="G161">
        <v>57.619979858398438</v>
      </c>
      <c r="H161">
        <f>SQRT(Sayfa1!D161^2+Sayfa1!E161^2)</f>
        <v>3.7643633454045675</v>
      </c>
      <c r="I161">
        <f>SUM(Sayfa1!G138:G161)</f>
        <v>1.430511474609375E-3</v>
      </c>
    </row>
    <row r="162" spans="1:9" x14ac:dyDescent="0.3">
      <c r="A162">
        <v>-118.5</v>
      </c>
      <c r="B162">
        <v>34.25</v>
      </c>
      <c r="C162">
        <v>2025</v>
      </c>
      <c r="D162">
        <v>1</v>
      </c>
      <c r="E162">
        <v>7</v>
      </c>
      <c r="F162">
        <f>Sayfa1!C162-273.15</f>
        <v>15.139001464843773</v>
      </c>
      <c r="G162">
        <v>45.049728393554688</v>
      </c>
      <c r="H162">
        <f>SQRT(Sayfa1!D162^2+Sayfa1!E162^2)</f>
        <v>5.0676386721823272</v>
      </c>
      <c r="I162">
        <f>SUM(Sayfa1!G139:G162)</f>
        <v>1.430511474609375E-3</v>
      </c>
    </row>
    <row r="163" spans="1:9" x14ac:dyDescent="0.3">
      <c r="A163">
        <v>-118.5</v>
      </c>
      <c r="B163">
        <v>34.25</v>
      </c>
      <c r="C163">
        <v>2025</v>
      </c>
      <c r="D163">
        <v>1</v>
      </c>
      <c r="E163">
        <v>7</v>
      </c>
      <c r="F163">
        <f>Sayfa1!C163-273.15</f>
        <v>15.070397949218773</v>
      </c>
      <c r="G163">
        <v>43.2340087890625</v>
      </c>
      <c r="H163">
        <f>SQRT(Sayfa1!D163^2+Sayfa1!E163^2)</f>
        <v>5.5117067920744685</v>
      </c>
      <c r="I163">
        <f>SUM(Sayfa1!G140:G163)</f>
        <v>1.430511474609375E-3</v>
      </c>
    </row>
    <row r="164" spans="1:9" x14ac:dyDescent="0.3">
      <c r="A164">
        <v>-118.5</v>
      </c>
      <c r="B164">
        <v>34.25</v>
      </c>
      <c r="C164">
        <v>2025</v>
      </c>
      <c r="D164">
        <v>1</v>
      </c>
      <c r="E164">
        <v>7</v>
      </c>
      <c r="F164">
        <f>Sayfa1!C164-273.15</f>
        <v>15.538659667968773</v>
      </c>
      <c r="G164">
        <v>40.617279052734375</v>
      </c>
      <c r="H164">
        <f>SQRT(Sayfa1!D164^2+Sayfa1!E164^2)</f>
        <v>6.8040274739704207</v>
      </c>
      <c r="I164">
        <f>SUM(Sayfa1!G141:G164)</f>
        <v>1.430511474609375E-3</v>
      </c>
    </row>
    <row r="165" spans="1:9" x14ac:dyDescent="0.3">
      <c r="A165">
        <v>-118.5</v>
      </c>
      <c r="B165">
        <v>34.25</v>
      </c>
      <c r="C165">
        <v>2025</v>
      </c>
      <c r="D165">
        <v>1</v>
      </c>
      <c r="E165">
        <v>7</v>
      </c>
      <c r="F165">
        <f>Sayfa1!C165-273.15</f>
        <v>16.645471191406273</v>
      </c>
      <c r="G165">
        <v>34.573745727539063</v>
      </c>
      <c r="H165">
        <f>SQRT(Sayfa1!D165^2+Sayfa1!E165^2)</f>
        <v>6.6624537236443784</v>
      </c>
      <c r="I165">
        <f>SUM(Sayfa1!G142:G165)</f>
        <v>1.430511474609375E-3</v>
      </c>
    </row>
    <row r="166" spans="1:9" x14ac:dyDescent="0.3">
      <c r="A166">
        <v>-118.5</v>
      </c>
      <c r="B166">
        <v>34.25</v>
      </c>
      <c r="C166">
        <v>2025</v>
      </c>
      <c r="D166">
        <v>1</v>
      </c>
      <c r="E166">
        <v>7</v>
      </c>
      <c r="F166">
        <f>Sayfa1!C166-273.15</f>
        <v>17.743005371093773</v>
      </c>
      <c r="G166">
        <v>27.008056640625</v>
      </c>
      <c r="H166">
        <f>SQRT(Sayfa1!D166^2+Sayfa1!E166^2)</f>
        <v>7.1199781457801183</v>
      </c>
      <c r="I166">
        <f>SUM(Sayfa1!G143:G166)</f>
        <v>1.430511474609375E-3</v>
      </c>
    </row>
    <row r="167" spans="1:9" x14ac:dyDescent="0.3">
      <c r="A167">
        <v>-118.5</v>
      </c>
      <c r="B167">
        <v>34.25</v>
      </c>
      <c r="C167">
        <v>2025</v>
      </c>
      <c r="D167">
        <v>1</v>
      </c>
      <c r="E167">
        <v>7</v>
      </c>
      <c r="F167">
        <f>Sayfa1!C167-273.15</f>
        <v>18.420800781250023</v>
      </c>
      <c r="G167">
        <v>21.200271606445313</v>
      </c>
      <c r="H167">
        <f>SQRT(Sayfa1!D167^2+Sayfa1!E167^2)</f>
        <v>7.1027398985314036</v>
      </c>
      <c r="I167">
        <f>SUM(Sayfa1!G144:G167)</f>
        <v>1.430511474609375E-3</v>
      </c>
    </row>
    <row r="168" spans="1:9" x14ac:dyDescent="0.3">
      <c r="A168">
        <v>-118.5</v>
      </c>
      <c r="B168">
        <v>34.25</v>
      </c>
      <c r="C168">
        <v>2025</v>
      </c>
      <c r="D168">
        <v>1</v>
      </c>
      <c r="E168">
        <v>7</v>
      </c>
      <c r="F168">
        <f>Sayfa1!C168-273.15</f>
        <v>18.363427734375023</v>
      </c>
      <c r="G168">
        <v>17.882278442382813</v>
      </c>
      <c r="H168">
        <f>SQRT(Sayfa1!D168^2+Sayfa1!E168^2)</f>
        <v>7.0267787159710791</v>
      </c>
      <c r="I168">
        <f>SUM(Sayfa1!G145:G168)</f>
        <v>1.430511474609375E-3</v>
      </c>
    </row>
    <row r="169" spans="1:9" x14ac:dyDescent="0.3">
      <c r="A169">
        <v>-118.5</v>
      </c>
      <c r="B169">
        <v>34.25</v>
      </c>
      <c r="C169">
        <v>2025</v>
      </c>
      <c r="D169">
        <v>1</v>
      </c>
      <c r="E169">
        <v>7</v>
      </c>
      <c r="F169">
        <f>Sayfa1!C169-273.15</f>
        <v>18.500024414062523</v>
      </c>
      <c r="G169">
        <v>15.891733169555664</v>
      </c>
      <c r="H169">
        <f>SQRT(Sayfa1!D169^2+Sayfa1!E169^2)</f>
        <v>6.8359208635570541</v>
      </c>
      <c r="I169">
        <f>SUM(Sayfa1!G146:G169)</f>
        <v>1.430511474609375E-3</v>
      </c>
    </row>
    <row r="170" spans="1:9" x14ac:dyDescent="0.3">
      <c r="A170">
        <v>-118.5</v>
      </c>
      <c r="B170">
        <v>34.25</v>
      </c>
      <c r="C170">
        <v>2025</v>
      </c>
      <c r="D170">
        <v>1</v>
      </c>
      <c r="E170">
        <v>8</v>
      </c>
      <c r="F170">
        <f>Sayfa1!C170-273.15</f>
        <v>18.441613769531273</v>
      </c>
      <c r="G170">
        <v>15.099640846252441</v>
      </c>
      <c r="H170">
        <f>SQRT(Sayfa1!D170^2+Sayfa1!E170^2)</f>
        <v>5.8990406825717203</v>
      </c>
      <c r="I170">
        <f>SUM(Sayfa1!G147:G170)</f>
        <v>1.430511474609375E-3</v>
      </c>
    </row>
    <row r="171" spans="1:9" x14ac:dyDescent="0.3">
      <c r="A171">
        <v>-118.5</v>
      </c>
      <c r="B171">
        <v>34.25</v>
      </c>
      <c r="C171">
        <v>2025</v>
      </c>
      <c r="D171">
        <v>1</v>
      </c>
      <c r="E171">
        <v>8</v>
      </c>
      <c r="F171">
        <f>Sayfa1!C171-273.15</f>
        <v>17.962426757812523</v>
      </c>
      <c r="G171">
        <v>16.97552490234375</v>
      </c>
      <c r="H171">
        <f>SQRT(Sayfa1!D171^2+Sayfa1!E171^2)</f>
        <v>5.009104272460295</v>
      </c>
      <c r="I171">
        <f>SUM(Sayfa1!G148:G171)</f>
        <v>1.430511474609375E-3</v>
      </c>
    </row>
    <row r="172" spans="1:9" x14ac:dyDescent="0.3">
      <c r="A172">
        <v>-118.5</v>
      </c>
      <c r="B172">
        <v>34.25</v>
      </c>
      <c r="C172">
        <v>2025</v>
      </c>
      <c r="D172">
        <v>1</v>
      </c>
      <c r="E172">
        <v>8</v>
      </c>
      <c r="F172">
        <f>Sayfa1!C172-273.15</f>
        <v>17.245629882812523</v>
      </c>
      <c r="G172">
        <v>20.708480834960938</v>
      </c>
      <c r="H172">
        <f>SQRT(Sayfa1!D172^2+Sayfa1!E172^2)</f>
        <v>4.9795953722525468</v>
      </c>
      <c r="I172">
        <f>SUM(Sayfa1!G149:G172)</f>
        <v>1.430511474609375E-3</v>
      </c>
    </row>
    <row r="173" spans="1:9" x14ac:dyDescent="0.3">
      <c r="A173">
        <v>-118.5</v>
      </c>
      <c r="B173">
        <v>34.25</v>
      </c>
      <c r="C173">
        <v>2025</v>
      </c>
      <c r="D173">
        <v>1</v>
      </c>
      <c r="E173">
        <v>8</v>
      </c>
      <c r="F173">
        <f>Sayfa1!C173-273.15</f>
        <v>16.593408203125023</v>
      </c>
      <c r="G173">
        <v>23.135219573974609</v>
      </c>
      <c r="H173">
        <f>SQRT(Sayfa1!D173^2+Sayfa1!E173^2)</f>
        <v>5.0868503885500447</v>
      </c>
      <c r="I173">
        <f>SUM(Sayfa1!G150:G173)</f>
        <v>1.430511474609375E-3</v>
      </c>
    </row>
    <row r="174" spans="1:9" x14ac:dyDescent="0.3">
      <c r="A174">
        <v>-118.5</v>
      </c>
      <c r="B174">
        <v>34.25</v>
      </c>
      <c r="C174">
        <v>2025</v>
      </c>
      <c r="D174">
        <v>1</v>
      </c>
      <c r="E174">
        <v>8</v>
      </c>
      <c r="F174">
        <f>Sayfa1!C174-273.15</f>
        <v>16.046533203125023</v>
      </c>
      <c r="G174">
        <v>22.751743316650391</v>
      </c>
      <c r="H174">
        <f>SQRT(Sayfa1!D174^2+Sayfa1!E174^2)</f>
        <v>5.5162866450904033</v>
      </c>
      <c r="I174">
        <f>SUM(Sayfa1!G151:G174)</f>
        <v>1.430511474609375E-3</v>
      </c>
    </row>
    <row r="175" spans="1:9" x14ac:dyDescent="0.3">
      <c r="A175">
        <v>-118.5</v>
      </c>
      <c r="B175">
        <v>34.25</v>
      </c>
      <c r="C175">
        <v>2025</v>
      </c>
      <c r="D175">
        <v>1</v>
      </c>
      <c r="E175">
        <v>8</v>
      </c>
      <c r="F175">
        <f>Sayfa1!C175-273.15</f>
        <v>15.555810546875023</v>
      </c>
      <c r="G175">
        <v>20.534517288208008</v>
      </c>
      <c r="H175">
        <f>SQRT(Sayfa1!D175^2+Sayfa1!E175^2)</f>
        <v>6.1622634323210939</v>
      </c>
      <c r="I175">
        <f>SUM(Sayfa1!G152:G175)</f>
        <v>1.430511474609375E-3</v>
      </c>
    </row>
    <row r="176" spans="1:9" x14ac:dyDescent="0.3">
      <c r="A176">
        <v>-118.5</v>
      </c>
      <c r="B176">
        <v>34.25</v>
      </c>
      <c r="C176">
        <v>2025</v>
      </c>
      <c r="D176">
        <v>1</v>
      </c>
      <c r="E176">
        <v>8</v>
      </c>
      <c r="F176">
        <f>Sayfa1!C176-273.15</f>
        <v>14.941735839843773</v>
      </c>
      <c r="G176">
        <v>18.800491333007813</v>
      </c>
      <c r="H176">
        <f>SQRT(Sayfa1!D176^2+Sayfa1!E176^2)</f>
        <v>6.673176434745602</v>
      </c>
      <c r="I176">
        <f>SUM(Sayfa1!G153:G176)</f>
        <v>1.430511474609375E-3</v>
      </c>
    </row>
    <row r="177" spans="1:9" x14ac:dyDescent="0.3">
      <c r="A177">
        <v>-118.5</v>
      </c>
      <c r="B177">
        <v>34.25</v>
      </c>
      <c r="C177">
        <v>2025</v>
      </c>
      <c r="D177">
        <v>1</v>
      </c>
      <c r="E177">
        <v>8</v>
      </c>
      <c r="F177">
        <f>Sayfa1!C177-273.15</f>
        <v>14.354821777343773</v>
      </c>
      <c r="G177">
        <v>18.748764038085938</v>
      </c>
      <c r="H177">
        <f>SQRT(Sayfa1!D177^2+Sayfa1!E177^2)</f>
        <v>6.9423295950489861</v>
      </c>
      <c r="I177">
        <f>SUM(Sayfa1!G154:G177)</f>
        <v>1.430511474609375E-3</v>
      </c>
    </row>
    <row r="178" spans="1:9" x14ac:dyDescent="0.3">
      <c r="A178">
        <v>-118.5</v>
      </c>
      <c r="B178">
        <v>34.25</v>
      </c>
      <c r="C178">
        <v>2025</v>
      </c>
      <c r="D178">
        <v>1</v>
      </c>
      <c r="E178">
        <v>8</v>
      </c>
      <c r="F178">
        <f>Sayfa1!C178-273.15</f>
        <v>13.897485351562523</v>
      </c>
      <c r="G178">
        <v>20.104900360107422</v>
      </c>
      <c r="H178">
        <f>SQRT(Sayfa1!D178^2+Sayfa1!E178^2)</f>
        <v>7.0617557108786793</v>
      </c>
      <c r="I178">
        <f>SUM(Sayfa1!G155:G178)</f>
        <v>1.430511474609375E-3</v>
      </c>
    </row>
    <row r="179" spans="1:9" x14ac:dyDescent="0.3">
      <c r="A179">
        <v>-118.5</v>
      </c>
      <c r="B179">
        <v>34.25</v>
      </c>
      <c r="C179">
        <v>2025</v>
      </c>
      <c r="D179">
        <v>1</v>
      </c>
      <c r="E179">
        <v>8</v>
      </c>
      <c r="F179">
        <f>Sayfa1!C179-273.15</f>
        <v>13.546777343750023</v>
      </c>
      <c r="G179">
        <v>21.111232757568359</v>
      </c>
      <c r="H179">
        <f>SQRT(Sayfa1!D179^2+Sayfa1!E179^2)</f>
        <v>7.2276964255697989</v>
      </c>
      <c r="I179">
        <f>SUM(Sayfa1!G156:G179)</f>
        <v>1.430511474609375E-3</v>
      </c>
    </row>
    <row r="180" spans="1:9" x14ac:dyDescent="0.3">
      <c r="A180">
        <v>-118.5</v>
      </c>
      <c r="B180">
        <v>34.25</v>
      </c>
      <c r="C180">
        <v>2025</v>
      </c>
      <c r="D180">
        <v>1</v>
      </c>
      <c r="E180">
        <v>8</v>
      </c>
      <c r="F180">
        <f>Sayfa1!C180-273.15</f>
        <v>15.647668457031273</v>
      </c>
      <c r="G180">
        <v>17.503673553466797</v>
      </c>
      <c r="H180">
        <f>SQRT(Sayfa1!D180^2+Sayfa1!E180^2)</f>
        <v>6.7582385691141393</v>
      </c>
      <c r="I180">
        <f>SUM(Sayfa1!G157:G180)</f>
        <v>1.430511474609375E-3</v>
      </c>
    </row>
    <row r="181" spans="1:9" x14ac:dyDescent="0.3">
      <c r="A181">
        <v>-118.5</v>
      </c>
      <c r="B181">
        <v>34.25</v>
      </c>
      <c r="C181">
        <v>2025</v>
      </c>
      <c r="D181">
        <v>1</v>
      </c>
      <c r="E181">
        <v>8</v>
      </c>
      <c r="F181">
        <f>Sayfa1!C181-273.15</f>
        <v>15.842614746093773</v>
      </c>
      <c r="G181">
        <v>16.938983917236328</v>
      </c>
      <c r="H181">
        <f>SQRT(Sayfa1!D181^2+Sayfa1!E181^2)</f>
        <v>6.2618571379809786</v>
      </c>
      <c r="I181">
        <f>SUM(Sayfa1!G158:G181)</f>
        <v>1.430511474609375E-3</v>
      </c>
    </row>
    <row r="182" spans="1:9" x14ac:dyDescent="0.3">
      <c r="A182">
        <v>-118.5</v>
      </c>
      <c r="B182">
        <v>34.25</v>
      </c>
      <c r="C182">
        <v>2025</v>
      </c>
      <c r="D182">
        <v>1</v>
      </c>
      <c r="E182">
        <v>8</v>
      </c>
      <c r="F182">
        <f>Sayfa1!C182-273.15</f>
        <v>15.845788574218773</v>
      </c>
      <c r="G182">
        <v>16.083839416503906</v>
      </c>
      <c r="H182">
        <f>SQRT(Sayfa1!D182^2+Sayfa1!E182^2)</f>
        <v>5.3354569038652757</v>
      </c>
      <c r="I182">
        <f>SUM(Sayfa1!G159:G182)</f>
        <v>1.430511474609375E-3</v>
      </c>
    </row>
    <row r="183" spans="1:9" x14ac:dyDescent="0.3">
      <c r="A183">
        <v>-118.5</v>
      </c>
      <c r="B183">
        <v>34.25</v>
      </c>
      <c r="C183">
        <v>2025</v>
      </c>
      <c r="D183">
        <v>1</v>
      </c>
      <c r="E183">
        <v>8</v>
      </c>
      <c r="F183">
        <f>Sayfa1!C183-273.15</f>
        <v>15.518029785156273</v>
      </c>
      <c r="G183">
        <v>16.521671295166016</v>
      </c>
      <c r="H183">
        <f>SQRT(Sayfa1!D183^2+Sayfa1!E183^2)</f>
        <v>4.4955188163435045</v>
      </c>
      <c r="I183">
        <f>SUM(Sayfa1!G160:G183)</f>
        <v>1.430511474609375E-3</v>
      </c>
    </row>
    <row r="184" spans="1:9" x14ac:dyDescent="0.3">
      <c r="A184">
        <v>-118.5</v>
      </c>
      <c r="B184">
        <v>34.25</v>
      </c>
      <c r="C184">
        <v>2025</v>
      </c>
      <c r="D184">
        <v>1</v>
      </c>
      <c r="E184">
        <v>8</v>
      </c>
      <c r="F184">
        <f>Sayfa1!C184-273.15</f>
        <v>15.141625976562523</v>
      </c>
      <c r="G184">
        <v>17.812667846679688</v>
      </c>
      <c r="H184">
        <f>SQRT(Sayfa1!D184^2+Sayfa1!E184^2)</f>
        <v>3.9831335439559319</v>
      </c>
      <c r="I184">
        <f>SUM(Sayfa1!G161:G184)</f>
        <v>0</v>
      </c>
    </row>
    <row r="185" spans="1:9" x14ac:dyDescent="0.3">
      <c r="A185">
        <v>-118.5</v>
      </c>
      <c r="B185">
        <v>34.25</v>
      </c>
      <c r="C185">
        <v>2025</v>
      </c>
      <c r="D185">
        <v>1</v>
      </c>
      <c r="E185">
        <v>8</v>
      </c>
      <c r="F185">
        <f>Sayfa1!C185-273.15</f>
        <v>14.728173828125023</v>
      </c>
      <c r="G185">
        <v>18.813392639160156</v>
      </c>
      <c r="H185">
        <f>SQRT(Sayfa1!D185^2+Sayfa1!E185^2)</f>
        <v>3.9017759958765725</v>
      </c>
      <c r="I185">
        <f>SUM(Sayfa1!G162:G185)</f>
        <v>0</v>
      </c>
    </row>
    <row r="186" spans="1:9" x14ac:dyDescent="0.3">
      <c r="A186">
        <v>-118.5</v>
      </c>
      <c r="B186">
        <v>34.25</v>
      </c>
      <c r="C186">
        <v>2025</v>
      </c>
      <c r="D186">
        <v>1</v>
      </c>
      <c r="E186">
        <v>8</v>
      </c>
      <c r="F186">
        <f>Sayfa1!C186-273.15</f>
        <v>14.474877929687523</v>
      </c>
      <c r="G186">
        <v>18.114589691162109</v>
      </c>
      <c r="H186">
        <f>SQRT(Sayfa1!D186^2+Sayfa1!E186^2)</f>
        <v>4.595798941849357</v>
      </c>
      <c r="I186">
        <f>SUM(Sayfa1!G163:G186)</f>
        <v>0</v>
      </c>
    </row>
    <row r="187" spans="1:9" x14ac:dyDescent="0.3">
      <c r="A187">
        <v>-118.5</v>
      </c>
      <c r="B187">
        <v>34.25</v>
      </c>
      <c r="C187">
        <v>2025</v>
      </c>
      <c r="D187">
        <v>1</v>
      </c>
      <c r="E187">
        <v>8</v>
      </c>
      <c r="F187">
        <f>Sayfa1!C187-273.15</f>
        <v>14.906396484375023</v>
      </c>
      <c r="G187">
        <v>16.850719451904297</v>
      </c>
      <c r="H187">
        <f>SQRT(Sayfa1!D187^2+Sayfa1!E187^2)</f>
        <v>4.6391248188734666</v>
      </c>
      <c r="I187">
        <f>SUM(Sayfa1!G164:G187)</f>
        <v>0</v>
      </c>
    </row>
    <row r="188" spans="1:9" x14ac:dyDescent="0.3">
      <c r="A188">
        <v>-118.5</v>
      </c>
      <c r="B188">
        <v>34.25</v>
      </c>
      <c r="C188">
        <v>2025</v>
      </c>
      <c r="D188">
        <v>1</v>
      </c>
      <c r="E188">
        <v>8</v>
      </c>
      <c r="F188">
        <f>Sayfa1!C188-273.15</f>
        <v>16.076562500000023</v>
      </c>
      <c r="G188">
        <v>14.780367851257324</v>
      </c>
      <c r="H188">
        <f>SQRT(Sayfa1!D188^2+Sayfa1!E188^2)</f>
        <v>5.8306894966235605</v>
      </c>
      <c r="I188">
        <f>SUM(Sayfa1!G165:G188)</f>
        <v>0</v>
      </c>
    </row>
    <row r="189" spans="1:9" x14ac:dyDescent="0.3">
      <c r="A189">
        <v>-118.5</v>
      </c>
      <c r="B189">
        <v>34.25</v>
      </c>
      <c r="C189">
        <v>2025</v>
      </c>
      <c r="D189">
        <v>1</v>
      </c>
      <c r="E189">
        <v>8</v>
      </c>
      <c r="F189">
        <f>Sayfa1!C189-273.15</f>
        <v>17.206567382812523</v>
      </c>
      <c r="G189">
        <v>12.159866333007813</v>
      </c>
      <c r="H189">
        <f>SQRT(Sayfa1!D189^2+Sayfa1!E189^2)</f>
        <v>6.1059681986668908</v>
      </c>
      <c r="I189">
        <f>SUM(Sayfa1!G166:G189)</f>
        <v>0</v>
      </c>
    </row>
    <row r="190" spans="1:9" x14ac:dyDescent="0.3">
      <c r="A190">
        <v>-118.5</v>
      </c>
      <c r="B190">
        <v>34.25</v>
      </c>
      <c r="C190">
        <v>2025</v>
      </c>
      <c r="D190">
        <v>1</v>
      </c>
      <c r="E190">
        <v>8</v>
      </c>
      <c r="F190">
        <f>Sayfa1!C190-273.15</f>
        <v>18.050927734375023</v>
      </c>
      <c r="G190">
        <v>11.36538028717041</v>
      </c>
      <c r="H190">
        <f>SQRT(Sayfa1!D190^2+Sayfa1!E190^2)</f>
        <v>6.0318759620944222</v>
      </c>
      <c r="I190">
        <f>SUM(Sayfa1!G167:G190)</f>
        <v>0</v>
      </c>
    </row>
    <row r="191" spans="1:9" x14ac:dyDescent="0.3">
      <c r="A191">
        <v>-118.5</v>
      </c>
      <c r="B191">
        <v>34.25</v>
      </c>
      <c r="C191">
        <v>2025</v>
      </c>
      <c r="D191">
        <v>1</v>
      </c>
      <c r="E191">
        <v>8</v>
      </c>
      <c r="F191">
        <f>Sayfa1!C191-273.15</f>
        <v>18.566186523437523</v>
      </c>
      <c r="G191">
        <v>10.844573974609375</v>
      </c>
      <c r="H191">
        <f>SQRT(Sayfa1!D191^2+Sayfa1!E191^2)</f>
        <v>5.7403188957718161</v>
      </c>
      <c r="I191">
        <f>SUM(Sayfa1!G168:G191)</f>
        <v>0</v>
      </c>
    </row>
    <row r="192" spans="1:9" x14ac:dyDescent="0.3">
      <c r="A192">
        <v>-118.5</v>
      </c>
      <c r="B192">
        <v>34.25</v>
      </c>
      <c r="C192">
        <v>2025</v>
      </c>
      <c r="D192">
        <v>1</v>
      </c>
      <c r="E192">
        <v>8</v>
      </c>
      <c r="F192">
        <f>Sayfa1!C192-273.15</f>
        <v>19.090966796875023</v>
      </c>
      <c r="G192">
        <v>9.9428377151489258</v>
      </c>
      <c r="H192">
        <f>SQRT(Sayfa1!D192^2+Sayfa1!E192^2)</f>
        <v>5.7505993736794077</v>
      </c>
      <c r="I192">
        <f>SUM(Sayfa1!G169:G192)</f>
        <v>0</v>
      </c>
    </row>
    <row r="193" spans="1:9" x14ac:dyDescent="0.3">
      <c r="A193">
        <v>-118.5</v>
      </c>
      <c r="B193">
        <v>34.25</v>
      </c>
      <c r="C193">
        <v>2025</v>
      </c>
      <c r="D193">
        <v>1</v>
      </c>
      <c r="E193">
        <v>8</v>
      </c>
      <c r="F193">
        <f>Sayfa1!C193-273.15</f>
        <v>19.630883789062523</v>
      </c>
      <c r="G193">
        <v>9.4925756454467773</v>
      </c>
      <c r="H193">
        <f>SQRT(Sayfa1!D193^2+Sayfa1!E193^2)</f>
        <v>4.8018801509720275</v>
      </c>
      <c r="I193">
        <f>SUM(Sayfa1!G170:G193)</f>
        <v>0</v>
      </c>
    </row>
    <row r="194" spans="1:9" x14ac:dyDescent="0.3">
      <c r="A194">
        <v>-118.5</v>
      </c>
      <c r="B194">
        <v>34.25</v>
      </c>
      <c r="C194">
        <v>2025</v>
      </c>
      <c r="D194">
        <v>1</v>
      </c>
      <c r="E194">
        <v>9</v>
      </c>
      <c r="F194">
        <f>Sayfa1!C194-273.15</f>
        <v>19.739831542968773</v>
      </c>
      <c r="G194">
        <v>9.3161659240722656</v>
      </c>
      <c r="H194">
        <f>SQRT(Sayfa1!D194^2+Sayfa1!E194^2)</f>
        <v>3.981005548447988</v>
      </c>
      <c r="I194">
        <f>SUM(Sayfa1!G171:G194)</f>
        <v>0</v>
      </c>
    </row>
    <row r="195" spans="1:9" x14ac:dyDescent="0.3">
      <c r="A195">
        <v>-118.5</v>
      </c>
      <c r="B195">
        <v>34.25</v>
      </c>
      <c r="C195">
        <v>2025</v>
      </c>
      <c r="D195">
        <v>1</v>
      </c>
      <c r="E195">
        <v>9</v>
      </c>
      <c r="F195">
        <f>Sayfa1!C195-273.15</f>
        <v>19.374475097656273</v>
      </c>
      <c r="G195">
        <v>9.4235467910766602</v>
      </c>
      <c r="H195">
        <f>SQRT(Sayfa1!D195^2+Sayfa1!E195^2)</f>
        <v>3.7041339226678716</v>
      </c>
      <c r="I195">
        <f>SUM(Sayfa1!G172:G195)</f>
        <v>0</v>
      </c>
    </row>
    <row r="196" spans="1:9" x14ac:dyDescent="0.3">
      <c r="A196">
        <v>-118.5</v>
      </c>
      <c r="B196">
        <v>34.25</v>
      </c>
      <c r="C196">
        <v>2025</v>
      </c>
      <c r="D196">
        <v>1</v>
      </c>
      <c r="E196">
        <v>9</v>
      </c>
      <c r="F196">
        <f>Sayfa1!C196-273.15</f>
        <v>18.829431152343773</v>
      </c>
      <c r="G196">
        <v>10.205946922302246</v>
      </c>
      <c r="H196">
        <f>SQRT(Sayfa1!D196^2+Sayfa1!E196^2)</f>
        <v>3.0441576445283158</v>
      </c>
      <c r="I196">
        <f>SUM(Sayfa1!G173:G196)</f>
        <v>0</v>
      </c>
    </row>
    <row r="197" spans="1:9" x14ac:dyDescent="0.3">
      <c r="A197">
        <v>-118.5</v>
      </c>
      <c r="B197">
        <v>34.25</v>
      </c>
      <c r="C197">
        <v>2025</v>
      </c>
      <c r="D197">
        <v>1</v>
      </c>
      <c r="E197">
        <v>9</v>
      </c>
      <c r="F197">
        <f>Sayfa1!C197-273.15</f>
        <v>18.381555175781273</v>
      </c>
      <c r="G197">
        <v>13.338747978210449</v>
      </c>
      <c r="H197">
        <f>SQRT(Sayfa1!D197^2+Sayfa1!E197^2)</f>
        <v>2.7201286959029769</v>
      </c>
      <c r="I197">
        <f>SUM(Sayfa1!G174:G197)</f>
        <v>0</v>
      </c>
    </row>
    <row r="198" spans="1:9" x14ac:dyDescent="0.3">
      <c r="A198">
        <v>-118.5</v>
      </c>
      <c r="B198">
        <v>34.25</v>
      </c>
      <c r="C198">
        <v>2025</v>
      </c>
      <c r="D198">
        <v>1</v>
      </c>
      <c r="E198">
        <v>9</v>
      </c>
      <c r="F198">
        <f>Sayfa1!C198-273.15</f>
        <v>18.129052734375023</v>
      </c>
      <c r="G198">
        <v>18.617902755737305</v>
      </c>
      <c r="H198">
        <f>SQRT(Sayfa1!D198^2+Sayfa1!E198^2)</f>
        <v>2.6314911404608274</v>
      </c>
      <c r="I198">
        <f>SUM(Sayfa1!G175:G198)</f>
        <v>0</v>
      </c>
    </row>
    <row r="199" spans="1:9" x14ac:dyDescent="0.3">
      <c r="A199">
        <v>-118.5</v>
      </c>
      <c r="B199">
        <v>34.25</v>
      </c>
      <c r="C199">
        <v>2025</v>
      </c>
      <c r="D199">
        <v>1</v>
      </c>
      <c r="E199">
        <v>9</v>
      </c>
      <c r="F199">
        <f>Sayfa1!C199-273.15</f>
        <v>18.060021972656273</v>
      </c>
      <c r="G199">
        <v>24.804996490478516</v>
      </c>
      <c r="H199">
        <f>SQRT(Sayfa1!D199^2+Sayfa1!E199^2)</f>
        <v>2.6771359801933161</v>
      </c>
      <c r="I199">
        <f>SUM(Sayfa1!G176:G199)</f>
        <v>0</v>
      </c>
    </row>
    <row r="200" spans="1:9" x14ac:dyDescent="0.3">
      <c r="A200">
        <v>-118.5</v>
      </c>
      <c r="B200">
        <v>34.25</v>
      </c>
      <c r="C200">
        <v>2025</v>
      </c>
      <c r="D200">
        <v>1</v>
      </c>
      <c r="E200">
        <v>9</v>
      </c>
      <c r="F200">
        <f>Sayfa1!C200-273.15</f>
        <v>18.087854003906273</v>
      </c>
      <c r="G200">
        <v>30.850578308105469</v>
      </c>
      <c r="H200">
        <f>SQRT(Sayfa1!D200^2+Sayfa1!E200^2)</f>
        <v>2.7731518198685849</v>
      </c>
      <c r="I200">
        <f>SUM(Sayfa1!G177:G200)</f>
        <v>0</v>
      </c>
    </row>
    <row r="201" spans="1:9" x14ac:dyDescent="0.3">
      <c r="A201">
        <v>-118.5</v>
      </c>
      <c r="B201">
        <v>34.25</v>
      </c>
      <c r="C201">
        <v>2025</v>
      </c>
      <c r="D201">
        <v>1</v>
      </c>
      <c r="E201">
        <v>9</v>
      </c>
      <c r="F201">
        <f>Sayfa1!C201-273.15</f>
        <v>18.071069335937523</v>
      </c>
      <c r="G201">
        <v>37.046627044677734</v>
      </c>
      <c r="H201">
        <f>SQRT(Sayfa1!D201^2+Sayfa1!E201^2)</f>
        <v>2.7949776694722006</v>
      </c>
      <c r="I201">
        <f>SUM(Sayfa1!G178:G201)</f>
        <v>0</v>
      </c>
    </row>
    <row r="202" spans="1:9" x14ac:dyDescent="0.3">
      <c r="A202">
        <v>-118.5</v>
      </c>
      <c r="B202">
        <v>34.25</v>
      </c>
      <c r="C202">
        <v>2025</v>
      </c>
      <c r="D202">
        <v>1</v>
      </c>
      <c r="E202">
        <v>9</v>
      </c>
      <c r="F202">
        <f>Sayfa1!C202-273.15</f>
        <v>18.018457031250023</v>
      </c>
      <c r="G202">
        <v>42.428691864013672</v>
      </c>
      <c r="H202">
        <f>SQRT(Sayfa1!D202^2+Sayfa1!E202^2)</f>
        <v>2.7811702192525631</v>
      </c>
      <c r="I202">
        <f>SUM(Sayfa1!G179:G202)</f>
        <v>0</v>
      </c>
    </row>
    <row r="203" spans="1:9" x14ac:dyDescent="0.3">
      <c r="A203">
        <v>-118.5</v>
      </c>
      <c r="B203">
        <v>34.25</v>
      </c>
      <c r="C203">
        <v>2025</v>
      </c>
      <c r="D203">
        <v>1</v>
      </c>
      <c r="E203">
        <v>9</v>
      </c>
      <c r="F203">
        <f>Sayfa1!C203-273.15</f>
        <v>17.915246582031273</v>
      </c>
      <c r="G203">
        <v>46.3194580078125</v>
      </c>
      <c r="H203">
        <f>SQRT(Sayfa1!D203^2+Sayfa1!E203^2)</f>
        <v>2.7311460128483289</v>
      </c>
      <c r="I203">
        <f>SUM(Sayfa1!G180:G203)</f>
        <v>0</v>
      </c>
    </row>
    <row r="204" spans="1:9" x14ac:dyDescent="0.3">
      <c r="A204">
        <v>-118.5</v>
      </c>
      <c r="B204">
        <v>34.25</v>
      </c>
      <c r="C204">
        <v>2025</v>
      </c>
      <c r="D204">
        <v>1</v>
      </c>
      <c r="E204">
        <v>9</v>
      </c>
      <c r="F204">
        <f>Sayfa1!C204-273.15</f>
        <v>17.128503417968773</v>
      </c>
      <c r="G204">
        <v>48.007865905761719</v>
      </c>
      <c r="H204">
        <f>SQRT(Sayfa1!D204^2+Sayfa1!E204^2)</f>
        <v>2.7079592794398466</v>
      </c>
      <c r="I204">
        <f>SUM(Sayfa1!G181:G204)</f>
        <v>0</v>
      </c>
    </row>
    <row r="205" spans="1:9" x14ac:dyDescent="0.3">
      <c r="A205">
        <v>-118.5</v>
      </c>
      <c r="B205">
        <v>34.25</v>
      </c>
      <c r="C205">
        <v>2025</v>
      </c>
      <c r="D205">
        <v>1</v>
      </c>
      <c r="E205">
        <v>9</v>
      </c>
      <c r="F205">
        <f>Sayfa1!C205-273.15</f>
        <v>17.311914062500023</v>
      </c>
      <c r="G205">
        <v>48.640144348144531</v>
      </c>
      <c r="H205">
        <f>SQRT(Sayfa1!D205^2+Sayfa1!E205^2)</f>
        <v>2.6026107603757223</v>
      </c>
      <c r="I205">
        <f>SUM(Sayfa1!G182:G205)</f>
        <v>0</v>
      </c>
    </row>
    <row r="206" spans="1:9" x14ac:dyDescent="0.3">
      <c r="A206">
        <v>-118.5</v>
      </c>
      <c r="B206">
        <v>34.25</v>
      </c>
      <c r="C206">
        <v>2025</v>
      </c>
      <c r="D206">
        <v>1</v>
      </c>
      <c r="E206">
        <v>9</v>
      </c>
      <c r="F206">
        <f>Sayfa1!C206-273.15</f>
        <v>17.552880859375023</v>
      </c>
      <c r="G206">
        <v>50.264537811279297</v>
      </c>
      <c r="H206">
        <f>SQRT(Sayfa1!D206^2+Sayfa1!E206^2)</f>
        <v>2.6314271381586236</v>
      </c>
      <c r="I206">
        <f>SUM(Sayfa1!G183:G206)</f>
        <v>0</v>
      </c>
    </row>
    <row r="207" spans="1:9" x14ac:dyDescent="0.3">
      <c r="A207">
        <v>-118.5</v>
      </c>
      <c r="B207">
        <v>34.25</v>
      </c>
      <c r="C207">
        <v>2025</v>
      </c>
      <c r="D207">
        <v>1</v>
      </c>
      <c r="E207">
        <v>9</v>
      </c>
      <c r="F207">
        <f>Sayfa1!C207-273.15</f>
        <v>17.688623046875023</v>
      </c>
      <c r="G207">
        <v>52.186000823974609</v>
      </c>
      <c r="H207">
        <f>SQRT(Sayfa1!D207^2+Sayfa1!E207^2)</f>
        <v>2.7134881548059702</v>
      </c>
      <c r="I207">
        <f>SUM(Sayfa1!G184:G207)</f>
        <v>0</v>
      </c>
    </row>
    <row r="208" spans="1:9" x14ac:dyDescent="0.3">
      <c r="A208">
        <v>-118.5</v>
      </c>
      <c r="B208">
        <v>34.25</v>
      </c>
      <c r="C208">
        <v>2025</v>
      </c>
      <c r="D208">
        <v>1</v>
      </c>
      <c r="E208">
        <v>9</v>
      </c>
      <c r="F208">
        <f>Sayfa1!C208-273.15</f>
        <v>17.677758789062523</v>
      </c>
      <c r="G208">
        <v>54.105316162109375</v>
      </c>
      <c r="H208">
        <f>SQRT(Sayfa1!D208^2+Sayfa1!E208^2)</f>
        <v>2.7051571428639356</v>
      </c>
      <c r="I208">
        <f>SUM(Sayfa1!G185:G208)</f>
        <v>0</v>
      </c>
    </row>
    <row r="209" spans="1:9" x14ac:dyDescent="0.3">
      <c r="A209">
        <v>-118.5</v>
      </c>
      <c r="B209">
        <v>34.25</v>
      </c>
      <c r="C209">
        <v>2025</v>
      </c>
      <c r="D209">
        <v>1</v>
      </c>
      <c r="E209">
        <v>9</v>
      </c>
      <c r="F209">
        <f>Sayfa1!C209-273.15</f>
        <v>17.655664062500023</v>
      </c>
      <c r="G209">
        <v>55.601943969726563</v>
      </c>
      <c r="H209">
        <f>SQRT(Sayfa1!D209^2+Sayfa1!E209^2)</f>
        <v>2.7891272882024376</v>
      </c>
      <c r="I209">
        <f>SUM(Sayfa1!G186:G209)</f>
        <v>0</v>
      </c>
    </row>
    <row r="210" spans="1:9" x14ac:dyDescent="0.3">
      <c r="A210">
        <v>-118.5</v>
      </c>
      <c r="B210">
        <v>34.25</v>
      </c>
      <c r="C210">
        <v>2025</v>
      </c>
      <c r="D210">
        <v>1</v>
      </c>
      <c r="E210">
        <v>9</v>
      </c>
      <c r="F210">
        <f>Sayfa1!C210-273.15</f>
        <v>17.561730957031273</v>
      </c>
      <c r="G210">
        <v>53.018608093261719</v>
      </c>
      <c r="H210">
        <f>SQRT(Sayfa1!D210^2+Sayfa1!E210^2)</f>
        <v>2.5808815781245364</v>
      </c>
      <c r="I210">
        <f>SUM(Sayfa1!G187:G210)</f>
        <v>0</v>
      </c>
    </row>
    <row r="211" spans="1:9" x14ac:dyDescent="0.3">
      <c r="A211">
        <v>-118.5</v>
      </c>
      <c r="B211">
        <v>34.25</v>
      </c>
      <c r="C211">
        <v>2025</v>
      </c>
      <c r="D211">
        <v>1</v>
      </c>
      <c r="E211">
        <v>9</v>
      </c>
      <c r="F211">
        <f>Sayfa1!C211-273.15</f>
        <v>17.709680175781273</v>
      </c>
      <c r="G211">
        <v>40.702178955078125</v>
      </c>
      <c r="H211">
        <f>SQRT(Sayfa1!D211^2+Sayfa1!E211^2)</f>
        <v>2.0633654939703137</v>
      </c>
      <c r="I211">
        <f>SUM(Sayfa1!G188:G211)</f>
        <v>0</v>
      </c>
    </row>
    <row r="212" spans="1:9" x14ac:dyDescent="0.3">
      <c r="A212">
        <v>-118.5</v>
      </c>
      <c r="B212">
        <v>34.25</v>
      </c>
      <c r="C212">
        <v>2025</v>
      </c>
      <c r="D212">
        <v>1</v>
      </c>
      <c r="E212">
        <v>9</v>
      </c>
      <c r="F212">
        <f>Sayfa1!C212-273.15</f>
        <v>17.863488769531273</v>
      </c>
      <c r="G212">
        <v>23.917083740234375</v>
      </c>
      <c r="H212">
        <f>SQRT(Sayfa1!D212^2+Sayfa1!E212^2)</f>
        <v>1.8908947548261146</v>
      </c>
      <c r="I212">
        <f>SUM(Sayfa1!G189:G212)</f>
        <v>0</v>
      </c>
    </row>
    <row r="213" spans="1:9" x14ac:dyDescent="0.3">
      <c r="A213">
        <v>-118.5</v>
      </c>
      <c r="B213">
        <v>34.25</v>
      </c>
      <c r="C213">
        <v>2025</v>
      </c>
      <c r="D213">
        <v>1</v>
      </c>
      <c r="E213">
        <v>9</v>
      </c>
      <c r="F213">
        <f>Sayfa1!C213-273.15</f>
        <v>19.506494140625023</v>
      </c>
      <c r="G213">
        <v>12.991058349609375</v>
      </c>
      <c r="H213">
        <f>SQRT(Sayfa1!D213^2+Sayfa1!E213^2)</f>
        <v>3.3266246306071889</v>
      </c>
      <c r="I213">
        <f>SUM(Sayfa1!G190:G213)</f>
        <v>0</v>
      </c>
    </row>
    <row r="214" spans="1:9" x14ac:dyDescent="0.3">
      <c r="A214">
        <v>-118.5</v>
      </c>
      <c r="B214">
        <v>34.25</v>
      </c>
      <c r="C214">
        <v>2025</v>
      </c>
      <c r="D214">
        <v>1</v>
      </c>
      <c r="E214">
        <v>9</v>
      </c>
      <c r="F214">
        <f>Sayfa1!C214-273.15</f>
        <v>20.606530761718773</v>
      </c>
      <c r="G214">
        <v>10.401479721069336</v>
      </c>
      <c r="H214">
        <f>SQRT(Sayfa1!D214^2+Sayfa1!E214^2)</f>
        <v>3.858734382622206</v>
      </c>
      <c r="I214">
        <f>SUM(Sayfa1!G191:G214)</f>
        <v>0</v>
      </c>
    </row>
    <row r="215" spans="1:9" x14ac:dyDescent="0.3">
      <c r="A215">
        <v>-118.5</v>
      </c>
      <c r="B215">
        <v>34.25</v>
      </c>
      <c r="C215">
        <v>2025</v>
      </c>
      <c r="D215">
        <v>1</v>
      </c>
      <c r="E215">
        <v>9</v>
      </c>
      <c r="F215">
        <f>Sayfa1!C215-273.15</f>
        <v>21.223901367187523</v>
      </c>
      <c r="G215">
        <v>9.0304203033447266</v>
      </c>
      <c r="H215">
        <f>SQRT(Sayfa1!D215^2+Sayfa1!E215^2)</f>
        <v>4.3063297205188</v>
      </c>
      <c r="I215">
        <f>SUM(Sayfa1!G192:G215)</f>
        <v>0</v>
      </c>
    </row>
    <row r="216" spans="1:9" x14ac:dyDescent="0.3">
      <c r="A216">
        <v>-118.5</v>
      </c>
      <c r="B216">
        <v>34.25</v>
      </c>
      <c r="C216">
        <v>2025</v>
      </c>
      <c r="D216">
        <v>1</v>
      </c>
      <c r="E216">
        <v>9</v>
      </c>
      <c r="F216">
        <f>Sayfa1!C216-273.15</f>
        <v>22.490258789062523</v>
      </c>
      <c r="G216">
        <v>7.5016889572143555</v>
      </c>
      <c r="H216">
        <f>SQRT(Sayfa1!D216^2+Sayfa1!E216^2)</f>
        <v>2.4718594335480786</v>
      </c>
      <c r="I216">
        <f>SUM(Sayfa1!G193:G216)</f>
        <v>0</v>
      </c>
    </row>
    <row r="217" spans="1:9" x14ac:dyDescent="0.3">
      <c r="A217">
        <v>-118.5</v>
      </c>
      <c r="B217">
        <v>34.25</v>
      </c>
      <c r="C217">
        <v>2025</v>
      </c>
      <c r="D217">
        <v>1</v>
      </c>
      <c r="E217">
        <v>9</v>
      </c>
      <c r="F217">
        <f>Sayfa1!C217-273.15</f>
        <v>22.721154785156273</v>
      </c>
      <c r="G217">
        <v>7.2128477096557617</v>
      </c>
      <c r="H217">
        <f>SQRT(Sayfa1!D217^2+Sayfa1!E217^2)</f>
        <v>2.3785511399818366</v>
      </c>
      <c r="I217">
        <f>SUM(Sayfa1!G194:G217)</f>
        <v>0</v>
      </c>
    </row>
    <row r="218" spans="1:9" x14ac:dyDescent="0.3">
      <c r="A218">
        <v>-118.5</v>
      </c>
      <c r="B218">
        <v>34.25</v>
      </c>
      <c r="C218">
        <v>2025</v>
      </c>
      <c r="D218">
        <v>1</v>
      </c>
      <c r="E218">
        <v>10</v>
      </c>
      <c r="F218">
        <f>Sayfa1!C218-273.15</f>
        <v>22.500634765625023</v>
      </c>
      <c r="G218">
        <v>7.5333499908447266</v>
      </c>
      <c r="H218">
        <f>SQRT(Sayfa1!D218^2+Sayfa1!E218^2)</f>
        <v>1.5713500623912293</v>
      </c>
      <c r="I218">
        <f>SUM(Sayfa1!G195:G218)</f>
        <v>0</v>
      </c>
    </row>
    <row r="219" spans="1:9" x14ac:dyDescent="0.3">
      <c r="A219">
        <v>-118.5</v>
      </c>
      <c r="B219">
        <v>34.25</v>
      </c>
      <c r="C219">
        <v>2025</v>
      </c>
      <c r="D219">
        <v>1</v>
      </c>
      <c r="E219">
        <v>10</v>
      </c>
      <c r="F219">
        <f>Sayfa1!C219-273.15</f>
        <v>21.922143554687523</v>
      </c>
      <c r="G219">
        <v>8.7726507186889648</v>
      </c>
      <c r="H219">
        <f>SQRT(Sayfa1!D219^2+Sayfa1!E219^2)</f>
        <v>1.1253915016948142</v>
      </c>
      <c r="I219">
        <f>SUM(Sayfa1!G196:G219)</f>
        <v>0</v>
      </c>
    </row>
    <row r="220" spans="1:9" x14ac:dyDescent="0.3">
      <c r="A220">
        <v>-118.5</v>
      </c>
      <c r="B220">
        <v>34.25</v>
      </c>
      <c r="C220">
        <v>2025</v>
      </c>
      <c r="D220">
        <v>1</v>
      </c>
      <c r="E220">
        <v>10</v>
      </c>
      <c r="F220">
        <f>Sayfa1!C220-273.15</f>
        <v>21.228417968750023</v>
      </c>
      <c r="G220">
        <v>10.243098258972168</v>
      </c>
      <c r="H220">
        <f>SQRT(Sayfa1!D220^2+Sayfa1!E220^2)</f>
        <v>2.1457133221314533</v>
      </c>
      <c r="I220">
        <f>SUM(Sayfa1!G197:G220)</f>
        <v>0</v>
      </c>
    </row>
    <row r="221" spans="1:9" x14ac:dyDescent="0.3">
      <c r="A221">
        <v>-118.5</v>
      </c>
      <c r="B221">
        <v>34.25</v>
      </c>
      <c r="C221">
        <v>2025</v>
      </c>
      <c r="D221">
        <v>1</v>
      </c>
      <c r="E221">
        <v>10</v>
      </c>
      <c r="F221">
        <f>Sayfa1!C221-273.15</f>
        <v>20.639367675781273</v>
      </c>
      <c r="G221">
        <v>12.336812019348145</v>
      </c>
      <c r="H221">
        <f>SQRT(Sayfa1!D221^2+Sayfa1!E221^2)</f>
        <v>2.5776956575064633</v>
      </c>
      <c r="I221">
        <f>SUM(Sayfa1!G198:G221)</f>
        <v>0</v>
      </c>
    </row>
    <row r="222" spans="1:9" x14ac:dyDescent="0.3">
      <c r="A222">
        <v>-118.5</v>
      </c>
      <c r="B222">
        <v>34.25</v>
      </c>
      <c r="C222">
        <v>2025</v>
      </c>
      <c r="D222">
        <v>1</v>
      </c>
      <c r="E222">
        <v>10</v>
      </c>
      <c r="F222">
        <f>Sayfa1!C222-273.15</f>
        <v>19.891381835937523</v>
      </c>
      <c r="G222">
        <v>15.012022972106934</v>
      </c>
      <c r="H222">
        <f>SQRT(Sayfa1!D222^2+Sayfa1!E222^2)</f>
        <v>2.7633773081010795</v>
      </c>
      <c r="I222">
        <f>SUM(Sayfa1!G199:G222)</f>
        <v>0</v>
      </c>
    </row>
    <row r="223" spans="1:9" x14ac:dyDescent="0.3">
      <c r="A223">
        <v>-118.5</v>
      </c>
      <c r="B223">
        <v>34.25</v>
      </c>
      <c r="C223">
        <v>2025</v>
      </c>
      <c r="D223">
        <v>1</v>
      </c>
      <c r="E223">
        <v>10</v>
      </c>
      <c r="F223">
        <f>Sayfa1!C223-273.15</f>
        <v>19.191918945312523</v>
      </c>
      <c r="G223">
        <v>16.697954177856445</v>
      </c>
      <c r="H223">
        <f>SQRT(Sayfa1!D223^2+Sayfa1!E223^2)</f>
        <v>2.8072129546117446</v>
      </c>
      <c r="I223">
        <f>SUM(Sayfa1!G200:G223)</f>
        <v>0</v>
      </c>
    </row>
    <row r="224" spans="1:9" x14ac:dyDescent="0.3">
      <c r="A224">
        <v>-118.5</v>
      </c>
      <c r="B224">
        <v>34.25</v>
      </c>
      <c r="C224">
        <v>2025</v>
      </c>
      <c r="D224">
        <v>1</v>
      </c>
      <c r="E224">
        <v>10</v>
      </c>
      <c r="F224">
        <f>Sayfa1!C224-273.15</f>
        <v>18.813623046875023</v>
      </c>
      <c r="G224">
        <v>16.957424163818359</v>
      </c>
      <c r="H224">
        <f>SQRT(Sayfa1!D224^2+Sayfa1!E224^2)</f>
        <v>2.8375737982900069</v>
      </c>
      <c r="I224">
        <f>SUM(Sayfa1!G201:G224)</f>
        <v>0</v>
      </c>
    </row>
    <row r="225" spans="1:9" x14ac:dyDescent="0.3">
      <c r="A225">
        <v>-118.5</v>
      </c>
      <c r="B225">
        <v>34.25</v>
      </c>
      <c r="C225">
        <v>2025</v>
      </c>
      <c r="D225">
        <v>1</v>
      </c>
      <c r="E225">
        <v>10</v>
      </c>
      <c r="F225">
        <f>Sayfa1!C225-273.15</f>
        <v>18.417810058593773</v>
      </c>
      <c r="G225">
        <v>17.282445907592773</v>
      </c>
      <c r="H225">
        <f>SQRT(Sayfa1!D225^2+Sayfa1!E225^2)</f>
        <v>2.8375064164540897</v>
      </c>
      <c r="I225">
        <f>SUM(Sayfa1!G202:G225)</f>
        <v>0</v>
      </c>
    </row>
    <row r="226" spans="1:9" x14ac:dyDescent="0.3">
      <c r="A226">
        <v>-118.5</v>
      </c>
      <c r="B226">
        <v>34.25</v>
      </c>
      <c r="C226">
        <v>2025</v>
      </c>
      <c r="D226">
        <v>1</v>
      </c>
      <c r="E226">
        <v>10</v>
      </c>
      <c r="F226">
        <f>Sayfa1!C226-273.15</f>
        <v>17.927026367187523</v>
      </c>
      <c r="G226">
        <v>18.107833862304688</v>
      </c>
      <c r="H226">
        <f>SQRT(Sayfa1!D226^2+Sayfa1!E226^2)</f>
        <v>2.900302046128024</v>
      </c>
      <c r="I226">
        <f>SUM(Sayfa1!G203:G226)</f>
        <v>0</v>
      </c>
    </row>
    <row r="227" spans="1:9" x14ac:dyDescent="0.3">
      <c r="A227">
        <v>-118.5</v>
      </c>
      <c r="B227">
        <v>34.25</v>
      </c>
      <c r="C227">
        <v>2025</v>
      </c>
      <c r="D227">
        <v>1</v>
      </c>
      <c r="E227">
        <v>10</v>
      </c>
      <c r="F227">
        <f>Sayfa1!C227-273.15</f>
        <v>17.366906738281273</v>
      </c>
      <c r="G227">
        <v>19.23527717590332</v>
      </c>
      <c r="H227">
        <f>SQRT(Sayfa1!D227^2+Sayfa1!E227^2)</f>
        <v>2.8841863096035487</v>
      </c>
      <c r="I227">
        <f>SUM(Sayfa1!G204:G227)</f>
        <v>0</v>
      </c>
    </row>
    <row r="228" spans="1:9" x14ac:dyDescent="0.3">
      <c r="A228">
        <v>-118.5</v>
      </c>
      <c r="B228">
        <v>34.25</v>
      </c>
      <c r="C228">
        <v>2025</v>
      </c>
      <c r="D228">
        <v>1</v>
      </c>
      <c r="E228">
        <v>10</v>
      </c>
      <c r="F228">
        <f>Sayfa1!C228-273.15</f>
        <v>18.162377929687523</v>
      </c>
      <c r="G228">
        <v>18.367460250854492</v>
      </c>
      <c r="H228">
        <f>SQRT(Sayfa1!D228^2+Sayfa1!E228^2)</f>
        <v>2.8359695175707635</v>
      </c>
      <c r="I228">
        <f>SUM(Sayfa1!G205:G228)</f>
        <v>0</v>
      </c>
    </row>
    <row r="229" spans="1:9" x14ac:dyDescent="0.3">
      <c r="A229">
        <v>-118.5</v>
      </c>
      <c r="B229">
        <v>34.25</v>
      </c>
      <c r="C229">
        <v>2025</v>
      </c>
      <c r="D229">
        <v>1</v>
      </c>
      <c r="E229">
        <v>10</v>
      </c>
      <c r="F229">
        <f>Sayfa1!C229-273.15</f>
        <v>17.501611328125023</v>
      </c>
      <c r="G229">
        <v>20.322441101074219</v>
      </c>
      <c r="H229">
        <f>SQRT(Sayfa1!D229^2+Sayfa1!E229^2)</f>
        <v>2.6530820037006828</v>
      </c>
      <c r="I229">
        <f>SUM(Sayfa1!G206:G229)</f>
        <v>0</v>
      </c>
    </row>
    <row r="230" spans="1:9" x14ac:dyDescent="0.3">
      <c r="A230">
        <v>-118.5</v>
      </c>
      <c r="B230">
        <v>34.25</v>
      </c>
      <c r="C230">
        <v>2025</v>
      </c>
      <c r="D230">
        <v>1</v>
      </c>
      <c r="E230">
        <v>10</v>
      </c>
      <c r="F230">
        <f>Sayfa1!C230-273.15</f>
        <v>16.928125000000023</v>
      </c>
      <c r="G230">
        <v>20.949310302734375</v>
      </c>
      <c r="H230">
        <f>SQRT(Sayfa1!D230^2+Sayfa1!E230^2)</f>
        <v>2.5674753490271591</v>
      </c>
      <c r="I230">
        <f>SUM(Sayfa1!G207:G230)</f>
        <v>0</v>
      </c>
    </row>
    <row r="231" spans="1:9" x14ac:dyDescent="0.3">
      <c r="A231">
        <v>-118.5</v>
      </c>
      <c r="B231">
        <v>34.25</v>
      </c>
      <c r="C231">
        <v>2025</v>
      </c>
      <c r="D231">
        <v>1</v>
      </c>
      <c r="E231">
        <v>10</v>
      </c>
      <c r="F231">
        <f>Sayfa1!C231-273.15</f>
        <v>16.414758300781273</v>
      </c>
      <c r="G231">
        <v>21.705154418945313</v>
      </c>
      <c r="H231">
        <f>SQRT(Sayfa1!D231^2+Sayfa1!E231^2)</f>
        <v>2.5146945060750689</v>
      </c>
      <c r="I231">
        <f>SUM(Sayfa1!G208:G231)</f>
        <v>0</v>
      </c>
    </row>
    <row r="232" spans="1:9" x14ac:dyDescent="0.3">
      <c r="A232">
        <v>-118.5</v>
      </c>
      <c r="B232">
        <v>34.25</v>
      </c>
      <c r="C232">
        <v>2025</v>
      </c>
      <c r="D232">
        <v>1</v>
      </c>
      <c r="E232">
        <v>10</v>
      </c>
      <c r="F232">
        <f>Sayfa1!C232-273.15</f>
        <v>15.924768066406273</v>
      </c>
      <c r="G232">
        <v>23.27058219909668</v>
      </c>
      <c r="H232">
        <f>SQRT(Sayfa1!D232^2+Sayfa1!E232^2)</f>
        <v>2.382245927135223</v>
      </c>
      <c r="I232">
        <f>SUM(Sayfa1!G209:G232)</f>
        <v>0</v>
      </c>
    </row>
    <row r="233" spans="1:9" x14ac:dyDescent="0.3">
      <c r="A233">
        <v>-118.5</v>
      </c>
      <c r="B233">
        <v>34.25</v>
      </c>
      <c r="C233">
        <v>2025</v>
      </c>
      <c r="D233">
        <v>1</v>
      </c>
      <c r="E233">
        <v>10</v>
      </c>
      <c r="F233">
        <f>Sayfa1!C233-273.15</f>
        <v>15.464868164062523</v>
      </c>
      <c r="G233">
        <v>26.10015869140625</v>
      </c>
      <c r="H233">
        <f>SQRT(Sayfa1!D233^2+Sayfa1!E233^2)</f>
        <v>2.356271118267764</v>
      </c>
      <c r="I233">
        <f>SUM(Sayfa1!G210:G233)</f>
        <v>0</v>
      </c>
    </row>
    <row r="234" spans="1:9" x14ac:dyDescent="0.3">
      <c r="A234">
        <v>-118.5</v>
      </c>
      <c r="B234">
        <v>34.25</v>
      </c>
      <c r="C234">
        <v>2025</v>
      </c>
      <c r="D234">
        <v>1</v>
      </c>
      <c r="E234">
        <v>10</v>
      </c>
      <c r="F234">
        <f>Sayfa1!C234-273.15</f>
        <v>15.160485839843773</v>
      </c>
      <c r="G234">
        <v>28.170915603637695</v>
      </c>
      <c r="H234">
        <f>SQRT(Sayfa1!D234^2+Sayfa1!E234^2)</f>
        <v>2.1924389114615295</v>
      </c>
      <c r="I234">
        <f>SUM(Sayfa1!G211:G234)</f>
        <v>0</v>
      </c>
    </row>
    <row r="235" spans="1:9" x14ac:dyDescent="0.3">
      <c r="A235">
        <v>-118.5</v>
      </c>
      <c r="B235">
        <v>34.25</v>
      </c>
      <c r="C235">
        <v>2025</v>
      </c>
      <c r="D235">
        <v>1</v>
      </c>
      <c r="E235">
        <v>10</v>
      </c>
      <c r="F235">
        <f>Sayfa1!C235-273.15</f>
        <v>14.955773925781273</v>
      </c>
      <c r="G235">
        <v>23.136306762695313</v>
      </c>
      <c r="H235">
        <f>SQRT(Sayfa1!D235^2+Sayfa1!E235^2)</f>
        <v>1.8506578517015453</v>
      </c>
      <c r="I235">
        <f>SUM(Sayfa1!G212:G235)</f>
        <v>0</v>
      </c>
    </row>
    <row r="236" spans="1:9" x14ac:dyDescent="0.3">
      <c r="A236">
        <v>-118.5</v>
      </c>
      <c r="B236">
        <v>34.25</v>
      </c>
      <c r="C236">
        <v>2025</v>
      </c>
      <c r="D236">
        <v>1</v>
      </c>
      <c r="E236">
        <v>10</v>
      </c>
      <c r="F236">
        <f>Sayfa1!C236-273.15</f>
        <v>15.716149902343773</v>
      </c>
      <c r="G236">
        <v>15.542442321777344</v>
      </c>
      <c r="H236">
        <f>SQRT(Sayfa1!D236^2+Sayfa1!E236^2)</f>
        <v>2.2328005876337653</v>
      </c>
      <c r="I236">
        <f>SUM(Sayfa1!G213:G236)</f>
        <v>0</v>
      </c>
    </row>
    <row r="237" spans="1:9" x14ac:dyDescent="0.3">
      <c r="A237">
        <v>-118.5</v>
      </c>
      <c r="B237">
        <v>34.25</v>
      </c>
      <c r="C237">
        <v>2025</v>
      </c>
      <c r="D237">
        <v>1</v>
      </c>
      <c r="E237">
        <v>10</v>
      </c>
      <c r="F237">
        <f>Sayfa1!C237-273.15</f>
        <v>17.362695312500023</v>
      </c>
      <c r="G237">
        <v>12.115918159484863</v>
      </c>
      <c r="H237">
        <f>SQRT(Sayfa1!D237^2+Sayfa1!E237^2)</f>
        <v>2.6668780436249375</v>
      </c>
      <c r="I237">
        <f>SUM(Sayfa1!G214:G237)</f>
        <v>0</v>
      </c>
    </row>
    <row r="238" spans="1:9" x14ac:dyDescent="0.3">
      <c r="A238">
        <v>-118.5</v>
      </c>
      <c r="B238">
        <v>34.25</v>
      </c>
      <c r="C238">
        <v>2025</v>
      </c>
      <c r="D238">
        <v>1</v>
      </c>
      <c r="E238">
        <v>10</v>
      </c>
      <c r="F238">
        <f>Sayfa1!C238-273.15</f>
        <v>18.637780761718773</v>
      </c>
      <c r="G238">
        <v>10.744655609130859</v>
      </c>
      <c r="H238">
        <f>SQRT(Sayfa1!D238^2+Sayfa1!E238^2)</f>
        <v>2.6923507343732775</v>
      </c>
      <c r="I238">
        <f>SUM(Sayfa1!G215:G238)</f>
        <v>0</v>
      </c>
    </row>
    <row r="239" spans="1:9" x14ac:dyDescent="0.3">
      <c r="A239">
        <v>-118.5</v>
      </c>
      <c r="B239">
        <v>34.25</v>
      </c>
      <c r="C239">
        <v>2025</v>
      </c>
      <c r="D239">
        <v>1</v>
      </c>
      <c r="E239">
        <v>10</v>
      </c>
      <c r="F239">
        <f>Sayfa1!C239-273.15</f>
        <v>19.731286621093773</v>
      </c>
      <c r="G239">
        <v>9.4891529083251953</v>
      </c>
      <c r="H239">
        <f>SQRT(Sayfa1!D239^2+Sayfa1!E239^2)</f>
        <v>2.4966324611429713</v>
      </c>
      <c r="I239">
        <f>SUM(Sayfa1!G216:G239)</f>
        <v>0</v>
      </c>
    </row>
    <row r="240" spans="1:9" x14ac:dyDescent="0.3">
      <c r="A240">
        <v>-118.5</v>
      </c>
      <c r="B240">
        <v>34.25</v>
      </c>
      <c r="C240">
        <v>2025</v>
      </c>
      <c r="D240">
        <v>1</v>
      </c>
      <c r="E240">
        <v>10</v>
      </c>
      <c r="F240">
        <f>Sayfa1!C240-273.15</f>
        <v>19.797998046875023</v>
      </c>
      <c r="G240">
        <v>9.4911565780639648</v>
      </c>
      <c r="H240">
        <f>SQRT(Sayfa1!D240^2+Sayfa1!E240^2)</f>
        <v>1.8762588443118187</v>
      </c>
      <c r="I240">
        <f>SUM(Sayfa1!G217:G240)</f>
        <v>0</v>
      </c>
    </row>
    <row r="241" spans="1:9" x14ac:dyDescent="0.3">
      <c r="A241">
        <v>-118.5</v>
      </c>
      <c r="B241">
        <v>34.25</v>
      </c>
      <c r="C241">
        <v>2025</v>
      </c>
      <c r="D241">
        <v>1</v>
      </c>
      <c r="E241">
        <v>10</v>
      </c>
      <c r="F241">
        <f>Sayfa1!C241-273.15</f>
        <v>20.384912109375023</v>
      </c>
      <c r="G241">
        <v>8.8370018005371094</v>
      </c>
      <c r="H241">
        <f>SQRT(Sayfa1!D241^2+Sayfa1!E241^2)</f>
        <v>0.99804213017905363</v>
      </c>
      <c r="I241">
        <f>SUM(Sayfa1!G218:G241)</f>
        <v>0</v>
      </c>
    </row>
    <row r="242" spans="1:9" x14ac:dyDescent="0.3">
      <c r="A242">
        <v>-118.5</v>
      </c>
      <c r="B242">
        <v>34.25</v>
      </c>
      <c r="C242">
        <v>2025</v>
      </c>
      <c r="D242">
        <v>1</v>
      </c>
      <c r="E242">
        <v>11</v>
      </c>
      <c r="F242">
        <f>Sayfa1!C242-273.15</f>
        <v>20.226831054687523</v>
      </c>
      <c r="G242">
        <v>10.576180458068848</v>
      </c>
      <c r="H242">
        <f>SQRT(Sayfa1!D242^2+Sayfa1!E242^2)</f>
        <v>0.67071153016730767</v>
      </c>
      <c r="I242">
        <f>SUM(Sayfa1!G219:G242)</f>
        <v>0</v>
      </c>
    </row>
    <row r="243" spans="1:9" x14ac:dyDescent="0.3">
      <c r="A243">
        <v>-118.5</v>
      </c>
      <c r="B243">
        <v>34.25</v>
      </c>
      <c r="C243">
        <v>2025</v>
      </c>
      <c r="D243">
        <v>1</v>
      </c>
      <c r="E243">
        <v>11</v>
      </c>
      <c r="F243">
        <f>Sayfa1!C243-273.15</f>
        <v>19.351098632812523</v>
      </c>
      <c r="G243">
        <v>16.108287811279297</v>
      </c>
      <c r="H243">
        <f>SQRT(Sayfa1!D243^2+Sayfa1!E243^2)</f>
        <v>1.1077757078587911</v>
      </c>
      <c r="I243">
        <f>SUM(Sayfa1!G220:G243)</f>
        <v>0</v>
      </c>
    </row>
    <row r="244" spans="1:9" x14ac:dyDescent="0.3">
      <c r="A244">
        <v>-118.5</v>
      </c>
      <c r="B244">
        <v>34.25</v>
      </c>
      <c r="C244">
        <v>2025</v>
      </c>
      <c r="D244">
        <v>1</v>
      </c>
      <c r="E244">
        <v>11</v>
      </c>
      <c r="F244">
        <f>Sayfa1!C244-273.15</f>
        <v>18.554467773437523</v>
      </c>
      <c r="G244">
        <v>20.947040557861328</v>
      </c>
      <c r="H244">
        <f>SQRT(Sayfa1!D244^2+Sayfa1!E244^2)</f>
        <v>0.79220855734750961</v>
      </c>
      <c r="I244">
        <f>SUM(Sayfa1!G221:G244)</f>
        <v>0</v>
      </c>
    </row>
    <row r="245" spans="1:9" x14ac:dyDescent="0.3">
      <c r="A245">
        <v>-118.5</v>
      </c>
      <c r="B245">
        <v>34.25</v>
      </c>
      <c r="C245">
        <v>2025</v>
      </c>
      <c r="D245">
        <v>1</v>
      </c>
      <c r="E245">
        <v>11</v>
      </c>
      <c r="F245">
        <f>Sayfa1!C245-273.15</f>
        <v>17.958154296875023</v>
      </c>
      <c r="G245">
        <v>23.136402130126953</v>
      </c>
      <c r="H245">
        <f>SQRT(Sayfa1!D245^2+Sayfa1!E245^2)</f>
        <v>0.62423114964967286</v>
      </c>
      <c r="I245">
        <f>SUM(Sayfa1!G222:G245)</f>
        <v>0</v>
      </c>
    </row>
    <row r="246" spans="1:9" x14ac:dyDescent="0.3">
      <c r="A246">
        <v>-118.5</v>
      </c>
      <c r="B246">
        <v>34.25</v>
      </c>
      <c r="C246">
        <v>2025</v>
      </c>
      <c r="D246">
        <v>1</v>
      </c>
      <c r="E246">
        <v>11</v>
      </c>
      <c r="F246">
        <f>Sayfa1!C246-273.15</f>
        <v>17.590356445312523</v>
      </c>
      <c r="G246">
        <v>24.217180252075195</v>
      </c>
      <c r="H246">
        <f>SQRT(Sayfa1!D246^2+Sayfa1!E246^2)</f>
        <v>0.86636428177237623</v>
      </c>
      <c r="I246">
        <f>SUM(Sayfa1!G223:G246)</f>
        <v>0</v>
      </c>
    </row>
    <row r="247" spans="1:9" x14ac:dyDescent="0.3">
      <c r="A247">
        <v>-118.5</v>
      </c>
      <c r="B247">
        <v>34.25</v>
      </c>
      <c r="C247">
        <v>2025</v>
      </c>
      <c r="D247">
        <v>1</v>
      </c>
      <c r="E247">
        <v>11</v>
      </c>
      <c r="F247">
        <f>Sayfa1!C247-273.15</f>
        <v>17.461938476562523</v>
      </c>
      <c r="G247">
        <v>25.233482360839844</v>
      </c>
      <c r="H247">
        <f>SQRT(Sayfa1!D247^2+Sayfa1!E247^2)</f>
        <v>1.4729965460108256</v>
      </c>
      <c r="I247">
        <f>SUM(Sayfa1!G224:G247)</f>
        <v>0</v>
      </c>
    </row>
    <row r="248" spans="1:9" x14ac:dyDescent="0.3">
      <c r="A248">
        <v>-118.5</v>
      </c>
      <c r="B248">
        <v>34.25</v>
      </c>
      <c r="C248">
        <v>2025</v>
      </c>
      <c r="D248">
        <v>1</v>
      </c>
      <c r="E248">
        <v>11</v>
      </c>
      <c r="F248">
        <f>Sayfa1!C248-273.15</f>
        <v>17.447412109375023</v>
      </c>
      <c r="G248">
        <v>26.261354446411133</v>
      </c>
      <c r="H248">
        <f>SQRT(Sayfa1!D248^2+Sayfa1!E248^2)</f>
        <v>1.8988109082067495</v>
      </c>
      <c r="I248">
        <f>SUM(Sayfa1!G225:G248)</f>
        <v>0</v>
      </c>
    </row>
    <row r="249" spans="1:9" x14ac:dyDescent="0.3">
      <c r="A249">
        <v>-118.5</v>
      </c>
      <c r="B249">
        <v>34.25</v>
      </c>
      <c r="C249">
        <v>2025</v>
      </c>
      <c r="D249">
        <v>1</v>
      </c>
      <c r="E249">
        <v>11</v>
      </c>
      <c r="F249">
        <f>Sayfa1!C249-273.15</f>
        <v>17.456567382812523</v>
      </c>
      <c r="G249">
        <v>27.683254241943359</v>
      </c>
      <c r="H249">
        <f>SQRT(Sayfa1!D249^2+Sayfa1!E249^2)</f>
        <v>2.1107974656492785</v>
      </c>
      <c r="I249">
        <f>SUM(Sayfa1!G226:G249)</f>
        <v>0</v>
      </c>
    </row>
    <row r="250" spans="1:9" x14ac:dyDescent="0.3">
      <c r="A250">
        <v>-118.5</v>
      </c>
      <c r="B250">
        <v>34.25</v>
      </c>
      <c r="C250">
        <v>2025</v>
      </c>
      <c r="D250">
        <v>1</v>
      </c>
      <c r="E250">
        <v>11</v>
      </c>
      <c r="F250">
        <f>Sayfa1!C250-273.15</f>
        <v>17.422143554687523</v>
      </c>
      <c r="G250">
        <v>28.427585601806641</v>
      </c>
      <c r="H250">
        <f>SQRT(Sayfa1!D250^2+Sayfa1!E250^2)</f>
        <v>2.1481218277872172</v>
      </c>
      <c r="I250">
        <f>SUM(Sayfa1!G227:G250)</f>
        <v>0</v>
      </c>
    </row>
    <row r="251" spans="1:9" x14ac:dyDescent="0.3">
      <c r="A251">
        <v>-118.5</v>
      </c>
      <c r="B251">
        <v>34.25</v>
      </c>
      <c r="C251">
        <v>2025</v>
      </c>
      <c r="D251">
        <v>1</v>
      </c>
      <c r="E251">
        <v>11</v>
      </c>
      <c r="F251">
        <f>Sayfa1!C251-273.15</f>
        <v>17.253808593750023</v>
      </c>
      <c r="G251">
        <v>28.635040283203125</v>
      </c>
      <c r="H251">
        <f>SQRT(Sayfa1!D251^2+Sayfa1!E251^2)</f>
        <v>2.1196014149980429</v>
      </c>
      <c r="I251">
        <f>SUM(Sayfa1!G228:G251)</f>
        <v>0</v>
      </c>
    </row>
    <row r="252" spans="1:9" x14ac:dyDescent="0.3">
      <c r="A252">
        <v>-118.5</v>
      </c>
      <c r="B252">
        <v>34.25</v>
      </c>
      <c r="C252">
        <v>2025</v>
      </c>
      <c r="D252">
        <v>1</v>
      </c>
      <c r="E252">
        <v>11</v>
      </c>
      <c r="F252">
        <f>Sayfa1!C252-273.15</f>
        <v>16.475610351562523</v>
      </c>
      <c r="G252">
        <v>25.673141479492188</v>
      </c>
      <c r="H252">
        <f>SQRT(Sayfa1!D252^2+Sayfa1!E252^2)</f>
        <v>2.0023608737993634</v>
      </c>
      <c r="I252">
        <f>SUM(Sayfa1!G229:G252)</f>
        <v>0</v>
      </c>
    </row>
    <row r="253" spans="1:9" x14ac:dyDescent="0.3">
      <c r="A253">
        <v>-118.5</v>
      </c>
      <c r="B253">
        <v>34.25</v>
      </c>
      <c r="C253">
        <v>2025</v>
      </c>
      <c r="D253">
        <v>1</v>
      </c>
      <c r="E253">
        <v>11</v>
      </c>
      <c r="F253">
        <f>Sayfa1!C253-273.15</f>
        <v>16.172509765625023</v>
      </c>
      <c r="G253">
        <v>27.151351928710938</v>
      </c>
      <c r="H253">
        <f>SQRT(Sayfa1!D253^2+Sayfa1!E253^2)</f>
        <v>2.1717200902047282</v>
      </c>
      <c r="I253">
        <f>SUM(Sayfa1!G230:G253)</f>
        <v>0</v>
      </c>
    </row>
    <row r="254" spans="1:9" x14ac:dyDescent="0.3">
      <c r="A254">
        <v>-118.5</v>
      </c>
      <c r="B254">
        <v>34.25</v>
      </c>
      <c r="C254">
        <v>2025</v>
      </c>
      <c r="D254">
        <v>1</v>
      </c>
      <c r="E254">
        <v>11</v>
      </c>
      <c r="F254">
        <f>Sayfa1!C254-273.15</f>
        <v>15.838769531250023</v>
      </c>
      <c r="G254">
        <v>28.574676513671875</v>
      </c>
      <c r="H254">
        <f>SQRT(Sayfa1!D254^2+Sayfa1!E254^2)</f>
        <v>2.3908127323100117</v>
      </c>
      <c r="I254">
        <f>SUM(Sayfa1!G231:G254)</f>
        <v>0</v>
      </c>
    </row>
    <row r="255" spans="1:9" x14ac:dyDescent="0.3">
      <c r="A255">
        <v>-118.5</v>
      </c>
      <c r="B255">
        <v>34.25</v>
      </c>
      <c r="C255">
        <v>2025</v>
      </c>
      <c r="D255">
        <v>1</v>
      </c>
      <c r="E255">
        <v>11</v>
      </c>
      <c r="F255">
        <f>Sayfa1!C255-273.15</f>
        <v>16.111230468750023</v>
      </c>
      <c r="G255">
        <v>32.224166870117188</v>
      </c>
      <c r="H255">
        <f>SQRT(Sayfa1!D255^2+Sayfa1!E255^2)</f>
        <v>2.3407151844550445</v>
      </c>
      <c r="I255">
        <f>SUM(Sayfa1!G232:G255)</f>
        <v>0</v>
      </c>
    </row>
    <row r="256" spans="1:9" x14ac:dyDescent="0.3">
      <c r="A256">
        <v>-118.5</v>
      </c>
      <c r="B256">
        <v>34.25</v>
      </c>
      <c r="C256">
        <v>2025</v>
      </c>
      <c r="D256">
        <v>1</v>
      </c>
      <c r="E256">
        <v>11</v>
      </c>
      <c r="F256">
        <f>Sayfa1!C256-273.15</f>
        <v>16.236718750000023</v>
      </c>
      <c r="G256">
        <v>38.197891235351563</v>
      </c>
      <c r="H256">
        <f>SQRT(Sayfa1!D256^2+Sayfa1!E256^2)</f>
        <v>2.4020554823650491</v>
      </c>
      <c r="I256">
        <f>SUM(Sayfa1!G233:G256)</f>
        <v>0</v>
      </c>
    </row>
    <row r="257" spans="1:9" x14ac:dyDescent="0.3">
      <c r="A257">
        <v>-118.5</v>
      </c>
      <c r="B257">
        <v>34.25</v>
      </c>
      <c r="C257">
        <v>2025</v>
      </c>
      <c r="D257">
        <v>1</v>
      </c>
      <c r="E257">
        <v>11</v>
      </c>
      <c r="F257">
        <f>Sayfa1!C257-273.15</f>
        <v>16.259179687500023</v>
      </c>
      <c r="G257">
        <v>43.702606201171875</v>
      </c>
      <c r="H257">
        <f>SQRT(Sayfa1!D257^2+Sayfa1!E257^2)</f>
        <v>2.5212657991259975</v>
      </c>
      <c r="I257">
        <f>SUM(Sayfa1!G234:G257)</f>
        <v>0</v>
      </c>
    </row>
    <row r="258" spans="1:9" x14ac:dyDescent="0.3">
      <c r="A258">
        <v>-118.5</v>
      </c>
      <c r="B258">
        <v>34.25</v>
      </c>
      <c r="C258">
        <v>2025</v>
      </c>
      <c r="D258">
        <v>1</v>
      </c>
      <c r="E258">
        <v>11</v>
      </c>
      <c r="F258">
        <f>Sayfa1!C258-273.15</f>
        <v>15.973291015625023</v>
      </c>
      <c r="G258">
        <v>41.269180297851563</v>
      </c>
      <c r="H258">
        <f>SQRT(Sayfa1!D258^2+Sayfa1!E258^2)</f>
        <v>2.3873942938232897</v>
      </c>
      <c r="I258">
        <f>SUM(Sayfa1!G235:G258)</f>
        <v>0</v>
      </c>
    </row>
    <row r="259" spans="1:9" x14ac:dyDescent="0.3">
      <c r="A259">
        <v>-118.5</v>
      </c>
      <c r="B259">
        <v>34.25</v>
      </c>
      <c r="C259">
        <v>2025</v>
      </c>
      <c r="D259">
        <v>1</v>
      </c>
      <c r="E259">
        <v>11</v>
      </c>
      <c r="F259">
        <f>Sayfa1!C259-273.15</f>
        <v>15.761987304687523</v>
      </c>
      <c r="G259">
        <v>31.3232421875</v>
      </c>
      <c r="H259">
        <f>SQRT(Sayfa1!D259^2+Sayfa1!E259^2)</f>
        <v>2.0596963121865834</v>
      </c>
      <c r="I259">
        <f>SUM(Sayfa1!G236:G259)</f>
        <v>0</v>
      </c>
    </row>
    <row r="260" spans="1:9" x14ac:dyDescent="0.3">
      <c r="A260">
        <v>-118.5</v>
      </c>
      <c r="B260">
        <v>34.25</v>
      </c>
      <c r="C260">
        <v>2025</v>
      </c>
      <c r="D260">
        <v>1</v>
      </c>
      <c r="E260">
        <v>11</v>
      </c>
      <c r="F260">
        <f>Sayfa1!C260-273.15</f>
        <v>15.939721679687523</v>
      </c>
      <c r="G260">
        <v>23.029830932617188</v>
      </c>
      <c r="H260">
        <f>SQRT(Sayfa1!D260^2+Sayfa1!E260^2)</f>
        <v>1.9196214926610906</v>
      </c>
      <c r="I260">
        <f>SUM(Sayfa1!G237:G260)</f>
        <v>0</v>
      </c>
    </row>
    <row r="261" spans="1:9" x14ac:dyDescent="0.3">
      <c r="A261">
        <v>-118.5</v>
      </c>
      <c r="B261">
        <v>34.25</v>
      </c>
      <c r="C261">
        <v>2025</v>
      </c>
      <c r="D261">
        <v>1</v>
      </c>
      <c r="E261">
        <v>11</v>
      </c>
      <c r="F261">
        <f>Sayfa1!C261-273.15</f>
        <v>18.018273925781273</v>
      </c>
      <c r="G261">
        <v>18.351608276367188</v>
      </c>
      <c r="H261">
        <f>SQRT(Sayfa1!D261^2+Sayfa1!E261^2)</f>
        <v>3.7400796052095999</v>
      </c>
      <c r="I261">
        <f>SUM(Sayfa1!G238:G261)</f>
        <v>0</v>
      </c>
    </row>
    <row r="262" spans="1:9" x14ac:dyDescent="0.3">
      <c r="A262">
        <v>-118.5</v>
      </c>
      <c r="B262">
        <v>34.25</v>
      </c>
      <c r="C262">
        <v>2025</v>
      </c>
      <c r="D262">
        <v>1</v>
      </c>
      <c r="E262">
        <v>11</v>
      </c>
      <c r="F262">
        <f>Sayfa1!C262-273.15</f>
        <v>19.217492675781273</v>
      </c>
      <c r="G262">
        <v>16.57049560546875</v>
      </c>
      <c r="H262">
        <f>SQRT(Sayfa1!D262^2+Sayfa1!E262^2)</f>
        <v>4.3238639510458521</v>
      </c>
      <c r="I262">
        <f>SUM(Sayfa1!G239:G262)</f>
        <v>0</v>
      </c>
    </row>
    <row r="263" spans="1:9" x14ac:dyDescent="0.3">
      <c r="A263">
        <v>-118.5</v>
      </c>
      <c r="B263">
        <v>34.25</v>
      </c>
      <c r="C263">
        <v>2025</v>
      </c>
      <c r="D263">
        <v>1</v>
      </c>
      <c r="E263">
        <v>11</v>
      </c>
      <c r="F263">
        <f>Sayfa1!C263-273.15</f>
        <v>20.110986328125023</v>
      </c>
      <c r="G263">
        <v>15.53809642791748</v>
      </c>
      <c r="H263">
        <f>SQRT(Sayfa1!D263^2+Sayfa1!E263^2)</f>
        <v>4.2564947519543379</v>
      </c>
      <c r="I263">
        <f>SUM(Sayfa1!G240:G263)</f>
        <v>0</v>
      </c>
    </row>
    <row r="264" spans="1:9" x14ac:dyDescent="0.3">
      <c r="A264">
        <v>-118.5</v>
      </c>
      <c r="B264">
        <v>34.25</v>
      </c>
      <c r="C264">
        <v>2025</v>
      </c>
      <c r="D264">
        <v>1</v>
      </c>
      <c r="E264">
        <v>11</v>
      </c>
      <c r="F264">
        <f>Sayfa1!C264-273.15</f>
        <v>20.712548828125023</v>
      </c>
      <c r="G264">
        <v>15.316895484924316</v>
      </c>
      <c r="H264">
        <f>SQRT(Sayfa1!D264^2+Sayfa1!E264^2)</f>
        <v>3.1083051830520536</v>
      </c>
      <c r="I264">
        <f>SUM(Sayfa1!G241:G264)</f>
        <v>0</v>
      </c>
    </row>
    <row r="265" spans="1:9" x14ac:dyDescent="0.3">
      <c r="A265">
        <v>-118.5</v>
      </c>
      <c r="B265">
        <v>34.25</v>
      </c>
      <c r="C265">
        <v>2025</v>
      </c>
      <c r="D265">
        <v>1</v>
      </c>
      <c r="E265">
        <v>11</v>
      </c>
      <c r="F265">
        <f>Sayfa1!C265-273.15</f>
        <v>20.980737304687523</v>
      </c>
      <c r="G265">
        <v>12.620728492736816</v>
      </c>
      <c r="H265">
        <f>SQRT(Sayfa1!D265^2+Sayfa1!E265^2)</f>
        <v>3.575899297910182</v>
      </c>
      <c r="I265">
        <f>SUM(Sayfa1!G242:G265)</f>
        <v>0</v>
      </c>
    </row>
    <row r="266" spans="1:9" x14ac:dyDescent="0.3">
      <c r="A266">
        <v>-118.5</v>
      </c>
      <c r="B266">
        <v>34.25</v>
      </c>
      <c r="C266">
        <v>2025</v>
      </c>
      <c r="D266">
        <v>1</v>
      </c>
      <c r="E266">
        <v>12</v>
      </c>
      <c r="F266">
        <f>Sayfa1!C266-273.15</f>
        <v>20.805932617187523</v>
      </c>
      <c r="G266">
        <v>10.807075500488281</v>
      </c>
      <c r="H266">
        <f>SQRT(Sayfa1!D266^2+Sayfa1!E266^2)</f>
        <v>3.0142701342275307</v>
      </c>
      <c r="I266">
        <f>SUM(Sayfa1!G243:G266)</f>
        <v>0</v>
      </c>
    </row>
    <row r="267" spans="1:9" x14ac:dyDescent="0.3">
      <c r="A267">
        <v>-118.5</v>
      </c>
      <c r="B267">
        <v>34.25</v>
      </c>
      <c r="C267">
        <v>2025</v>
      </c>
      <c r="D267">
        <v>1</v>
      </c>
      <c r="E267">
        <v>12</v>
      </c>
      <c r="F267">
        <f>Sayfa1!C267-273.15</f>
        <v>20.290307617187523</v>
      </c>
      <c r="G267">
        <v>11.297636985778809</v>
      </c>
      <c r="H267">
        <f>SQRT(Sayfa1!D267^2+Sayfa1!E267^2)</f>
        <v>2.8647047736876377</v>
      </c>
      <c r="I267">
        <f>SUM(Sayfa1!G244:G267)</f>
        <v>0</v>
      </c>
    </row>
    <row r="268" spans="1:9" x14ac:dyDescent="0.3">
      <c r="A268">
        <v>-118.5</v>
      </c>
      <c r="B268">
        <v>34.25</v>
      </c>
      <c r="C268">
        <v>2025</v>
      </c>
      <c r="D268">
        <v>1</v>
      </c>
      <c r="E268">
        <v>12</v>
      </c>
      <c r="F268">
        <f>Sayfa1!C268-273.15</f>
        <v>19.648522949218773</v>
      </c>
      <c r="G268">
        <v>13.825345993041992</v>
      </c>
      <c r="H268">
        <f>SQRT(Sayfa1!D268^2+Sayfa1!E268^2)</f>
        <v>3.096748432828226</v>
      </c>
      <c r="I268">
        <f>SUM(Sayfa1!G245:G268)</f>
        <v>0</v>
      </c>
    </row>
    <row r="269" spans="1:9" x14ac:dyDescent="0.3">
      <c r="A269">
        <v>-118.5</v>
      </c>
      <c r="B269">
        <v>34.25</v>
      </c>
      <c r="C269">
        <v>2025</v>
      </c>
      <c r="D269">
        <v>1</v>
      </c>
      <c r="E269">
        <v>12</v>
      </c>
      <c r="F269">
        <f>Sayfa1!C269-273.15</f>
        <v>18.690820312500023</v>
      </c>
      <c r="G269">
        <v>16.061275482177734</v>
      </c>
      <c r="H269">
        <f>SQRT(Sayfa1!D269^2+Sayfa1!E269^2)</f>
        <v>3.3532552093122017</v>
      </c>
      <c r="I269">
        <f>SUM(Sayfa1!G246:G269)</f>
        <v>0</v>
      </c>
    </row>
    <row r="270" spans="1:9" x14ac:dyDescent="0.3">
      <c r="A270">
        <v>-118.5</v>
      </c>
      <c r="B270">
        <v>34.25</v>
      </c>
      <c r="C270">
        <v>2025</v>
      </c>
      <c r="D270">
        <v>1</v>
      </c>
      <c r="E270">
        <v>12</v>
      </c>
      <c r="F270">
        <f>Sayfa1!C270-273.15</f>
        <v>17.656762695312523</v>
      </c>
      <c r="G270">
        <v>20.220102310180664</v>
      </c>
      <c r="H270">
        <f>SQRT(Sayfa1!D270^2+Sayfa1!E270^2)</f>
        <v>3.1220669408552704</v>
      </c>
      <c r="I270">
        <f>SUM(Sayfa1!G247:G270)</f>
        <v>0</v>
      </c>
    </row>
    <row r="271" spans="1:9" x14ac:dyDescent="0.3">
      <c r="A271">
        <v>-118.5</v>
      </c>
      <c r="B271">
        <v>34.25</v>
      </c>
      <c r="C271">
        <v>2025</v>
      </c>
      <c r="D271">
        <v>1</v>
      </c>
      <c r="E271">
        <v>12</v>
      </c>
      <c r="F271">
        <f>Sayfa1!C271-273.15</f>
        <v>17.148828125000023</v>
      </c>
      <c r="G271">
        <v>26.839889526367188</v>
      </c>
      <c r="H271">
        <f>SQRT(Sayfa1!D271^2+Sayfa1!E271^2)</f>
        <v>2.7703000805712095</v>
      </c>
      <c r="I271">
        <f>SUM(Sayfa1!G248:G271)</f>
        <v>0</v>
      </c>
    </row>
    <row r="272" spans="1:9" x14ac:dyDescent="0.3">
      <c r="A272">
        <v>-118.5</v>
      </c>
      <c r="B272">
        <v>34.25</v>
      </c>
      <c r="C272">
        <v>2025</v>
      </c>
      <c r="D272">
        <v>1</v>
      </c>
      <c r="E272">
        <v>12</v>
      </c>
      <c r="F272">
        <f>Sayfa1!C272-273.15</f>
        <v>16.929589843750023</v>
      </c>
      <c r="G272">
        <v>33.656631469726563</v>
      </c>
      <c r="H272">
        <f>SQRT(Sayfa1!D272^2+Sayfa1!E272^2)</f>
        <v>2.7742714246456699</v>
      </c>
      <c r="I272">
        <f>SUM(Sayfa1!G249:G272)</f>
        <v>0</v>
      </c>
    </row>
    <row r="273" spans="1:9" x14ac:dyDescent="0.3">
      <c r="A273">
        <v>-118.5</v>
      </c>
      <c r="B273">
        <v>34.25</v>
      </c>
      <c r="C273">
        <v>2025</v>
      </c>
      <c r="D273">
        <v>1</v>
      </c>
      <c r="E273">
        <v>12</v>
      </c>
      <c r="F273">
        <f>Sayfa1!C273-273.15</f>
        <v>16.732385253906273</v>
      </c>
      <c r="G273">
        <v>40.079753875732422</v>
      </c>
      <c r="H273">
        <f>SQRT(Sayfa1!D273^2+Sayfa1!E273^2)</f>
        <v>2.7572216037978037</v>
      </c>
      <c r="I273">
        <f>SUM(Sayfa1!G250:G273)</f>
        <v>0</v>
      </c>
    </row>
    <row r="274" spans="1:9" x14ac:dyDescent="0.3">
      <c r="A274">
        <v>-118.5</v>
      </c>
      <c r="B274">
        <v>34.25</v>
      </c>
      <c r="C274">
        <v>2025</v>
      </c>
      <c r="D274">
        <v>1</v>
      </c>
      <c r="E274">
        <v>12</v>
      </c>
      <c r="F274">
        <f>Sayfa1!C274-273.15</f>
        <v>16.467736816406273</v>
      </c>
      <c r="G274">
        <v>45.527538299560547</v>
      </c>
      <c r="H274">
        <f>SQRT(Sayfa1!D274^2+Sayfa1!E274^2)</f>
        <v>2.8425659440910462</v>
      </c>
      <c r="I274">
        <f>SUM(Sayfa1!G251:G274)</f>
        <v>0</v>
      </c>
    </row>
    <row r="275" spans="1:9" x14ac:dyDescent="0.3">
      <c r="A275">
        <v>-118.5</v>
      </c>
      <c r="B275">
        <v>34.25</v>
      </c>
      <c r="C275">
        <v>2025</v>
      </c>
      <c r="D275">
        <v>1</v>
      </c>
      <c r="E275">
        <v>12</v>
      </c>
      <c r="F275">
        <f>Sayfa1!C275-273.15</f>
        <v>16.064355468750023</v>
      </c>
      <c r="G275">
        <v>47.938316345214844</v>
      </c>
      <c r="H275">
        <f>SQRT(Sayfa1!D275^2+Sayfa1!E275^2)</f>
        <v>2.9982728339449181</v>
      </c>
      <c r="I275">
        <f>SUM(Sayfa1!G252:G275)</f>
        <v>0</v>
      </c>
    </row>
    <row r="276" spans="1:9" x14ac:dyDescent="0.3">
      <c r="A276">
        <v>-118.5</v>
      </c>
      <c r="B276">
        <v>34.25</v>
      </c>
      <c r="C276">
        <v>2025</v>
      </c>
      <c r="D276">
        <v>1</v>
      </c>
      <c r="E276">
        <v>12</v>
      </c>
      <c r="F276">
        <f>Sayfa1!C276-273.15</f>
        <v>16.219628906250023</v>
      </c>
      <c r="G276">
        <v>39.119522094726563</v>
      </c>
      <c r="H276">
        <f>SQRT(Sayfa1!D276^2+Sayfa1!E276^2)</f>
        <v>2.8353116621810779</v>
      </c>
      <c r="I276">
        <f>SUM(Sayfa1!G253:G276)</f>
        <v>0</v>
      </c>
    </row>
    <row r="277" spans="1:9" x14ac:dyDescent="0.3">
      <c r="A277">
        <v>-118.5</v>
      </c>
      <c r="B277">
        <v>34.25</v>
      </c>
      <c r="C277">
        <v>2025</v>
      </c>
      <c r="D277">
        <v>1</v>
      </c>
      <c r="E277">
        <v>12</v>
      </c>
      <c r="F277">
        <f>Sayfa1!C277-273.15</f>
        <v>15.794396972656273</v>
      </c>
      <c r="G277">
        <v>39.699485778808594</v>
      </c>
      <c r="H277">
        <f>SQRT(Sayfa1!D277^2+Sayfa1!E277^2)</f>
        <v>2.8094598802221471</v>
      </c>
      <c r="I277">
        <f>SUM(Sayfa1!G254:G277)</f>
        <v>0</v>
      </c>
    </row>
    <row r="278" spans="1:9" x14ac:dyDescent="0.3">
      <c r="A278">
        <v>-118.5</v>
      </c>
      <c r="B278">
        <v>34.25</v>
      </c>
      <c r="C278">
        <v>2025</v>
      </c>
      <c r="D278">
        <v>1</v>
      </c>
      <c r="E278">
        <v>12</v>
      </c>
      <c r="F278">
        <f>Sayfa1!C278-273.15</f>
        <v>15.503869628906273</v>
      </c>
      <c r="G278">
        <v>40.789714813232422</v>
      </c>
      <c r="H278">
        <f>SQRT(Sayfa1!D278^2+Sayfa1!E278^2)</f>
        <v>2.7143330284466733</v>
      </c>
      <c r="I278">
        <f>SUM(Sayfa1!G255:G278)</f>
        <v>0</v>
      </c>
    </row>
    <row r="279" spans="1:9" x14ac:dyDescent="0.3">
      <c r="A279">
        <v>-118.5</v>
      </c>
      <c r="B279">
        <v>34.25</v>
      </c>
      <c r="C279">
        <v>2025</v>
      </c>
      <c r="D279">
        <v>1</v>
      </c>
      <c r="E279">
        <v>12</v>
      </c>
      <c r="F279">
        <f>Sayfa1!C279-273.15</f>
        <v>15.425866699218773</v>
      </c>
      <c r="G279">
        <v>44.628108978271484</v>
      </c>
      <c r="H279">
        <f>SQRT(Sayfa1!D279^2+Sayfa1!E279^2)</f>
        <v>2.6940317449717206</v>
      </c>
      <c r="I279">
        <f>SUM(Sayfa1!G256:G279)</f>
        <v>0</v>
      </c>
    </row>
    <row r="280" spans="1:9" x14ac:dyDescent="0.3">
      <c r="A280">
        <v>-118.5</v>
      </c>
      <c r="B280">
        <v>34.25</v>
      </c>
      <c r="C280">
        <v>2025</v>
      </c>
      <c r="D280">
        <v>1</v>
      </c>
      <c r="E280">
        <v>12</v>
      </c>
      <c r="F280">
        <f>Sayfa1!C280-273.15</f>
        <v>15.273278808593773</v>
      </c>
      <c r="G280">
        <v>47.708267211914063</v>
      </c>
      <c r="H280">
        <f>SQRT(Sayfa1!D280^2+Sayfa1!E280^2)</f>
        <v>2.674028354713673</v>
      </c>
      <c r="I280">
        <f>SUM(Sayfa1!G257:G280)</f>
        <v>0</v>
      </c>
    </row>
    <row r="281" spans="1:9" x14ac:dyDescent="0.3">
      <c r="A281">
        <v>-118.5</v>
      </c>
      <c r="B281">
        <v>34.25</v>
      </c>
      <c r="C281">
        <v>2025</v>
      </c>
      <c r="D281">
        <v>1</v>
      </c>
      <c r="E281">
        <v>12</v>
      </c>
      <c r="F281">
        <f>Sayfa1!C281-273.15</f>
        <v>14.771569824218773</v>
      </c>
      <c r="G281">
        <v>49.4315185546875</v>
      </c>
      <c r="H281">
        <f>SQRT(Sayfa1!D281^2+Sayfa1!E281^2)</f>
        <v>2.7252940565269679</v>
      </c>
      <c r="I281">
        <f>SUM(Sayfa1!G258:G281)</f>
        <v>0</v>
      </c>
    </row>
    <row r="282" spans="1:9" x14ac:dyDescent="0.3">
      <c r="A282">
        <v>-118.5</v>
      </c>
      <c r="B282">
        <v>34.25</v>
      </c>
      <c r="C282">
        <v>2025</v>
      </c>
      <c r="D282">
        <v>1</v>
      </c>
      <c r="E282">
        <v>12</v>
      </c>
      <c r="F282">
        <f>Sayfa1!C282-273.15</f>
        <v>14.111047363281273</v>
      </c>
      <c r="G282">
        <v>43.214611053466797</v>
      </c>
      <c r="H282">
        <f>SQRT(Sayfa1!D282^2+Sayfa1!E282^2)</f>
        <v>2.5671762639629576</v>
      </c>
      <c r="I282">
        <f>SUM(Sayfa1!G259:G282)</f>
        <v>0</v>
      </c>
    </row>
    <row r="283" spans="1:9" x14ac:dyDescent="0.3">
      <c r="A283">
        <v>-118.5</v>
      </c>
      <c r="B283">
        <v>34.25</v>
      </c>
      <c r="C283">
        <v>2025</v>
      </c>
      <c r="D283">
        <v>1</v>
      </c>
      <c r="E283">
        <v>12</v>
      </c>
      <c r="F283">
        <f>Sayfa1!C283-273.15</f>
        <v>13.418298339843773</v>
      </c>
      <c r="G283">
        <v>25.417987823486328</v>
      </c>
      <c r="H283">
        <f>SQRT(Sayfa1!D283^2+Sayfa1!E283^2)</f>
        <v>2.3097303137994492</v>
      </c>
      <c r="I283">
        <f>SUM(Sayfa1!G260:G283)</f>
        <v>0</v>
      </c>
    </row>
    <row r="284" spans="1:9" x14ac:dyDescent="0.3">
      <c r="A284">
        <v>-118.5</v>
      </c>
      <c r="B284">
        <v>34.25</v>
      </c>
      <c r="C284">
        <v>2025</v>
      </c>
      <c r="D284">
        <v>1</v>
      </c>
      <c r="E284">
        <v>12</v>
      </c>
      <c r="F284">
        <f>Sayfa1!C284-273.15</f>
        <v>14.338403320312523</v>
      </c>
      <c r="G284">
        <v>16.305545806884766</v>
      </c>
      <c r="H284">
        <f>SQRT(Sayfa1!D284^2+Sayfa1!E284^2)</f>
        <v>3.7094782864328417</v>
      </c>
      <c r="I284">
        <f>SUM(Sayfa1!G261:G284)</f>
        <v>0</v>
      </c>
    </row>
    <row r="285" spans="1:9" x14ac:dyDescent="0.3">
      <c r="A285">
        <v>-118.5</v>
      </c>
      <c r="B285">
        <v>34.25</v>
      </c>
      <c r="C285">
        <v>2025</v>
      </c>
      <c r="D285">
        <v>1</v>
      </c>
      <c r="E285">
        <v>12</v>
      </c>
      <c r="F285">
        <f>Sayfa1!C285-273.15</f>
        <v>15.421777343750023</v>
      </c>
      <c r="G285">
        <v>14.756696701049805</v>
      </c>
      <c r="H285">
        <f>SQRT(Sayfa1!D285^2+Sayfa1!E285^2)</f>
        <v>3.8381008003891099</v>
      </c>
      <c r="I285">
        <f>SUM(Sayfa1!G262:G285)</f>
        <v>0</v>
      </c>
    </row>
    <row r="286" spans="1:9" x14ac:dyDescent="0.3">
      <c r="A286">
        <v>-118.5</v>
      </c>
      <c r="B286">
        <v>34.25</v>
      </c>
      <c r="C286">
        <v>2025</v>
      </c>
      <c r="D286">
        <v>1</v>
      </c>
      <c r="E286">
        <v>12</v>
      </c>
      <c r="F286">
        <f>Sayfa1!C286-273.15</f>
        <v>16.134057617187523</v>
      </c>
      <c r="G286">
        <v>13.898056030273438</v>
      </c>
      <c r="H286">
        <f>SQRT(Sayfa1!D286^2+Sayfa1!E286^2)</f>
        <v>3.3673111690692381</v>
      </c>
      <c r="I286">
        <f>SUM(Sayfa1!G263:G286)</f>
        <v>0</v>
      </c>
    </row>
    <row r="287" spans="1:9" x14ac:dyDescent="0.3">
      <c r="A287">
        <v>-118.5</v>
      </c>
      <c r="B287">
        <v>34.25</v>
      </c>
      <c r="C287">
        <v>2025</v>
      </c>
      <c r="D287">
        <v>1</v>
      </c>
      <c r="E287">
        <v>12</v>
      </c>
      <c r="F287">
        <f>Sayfa1!C287-273.15</f>
        <v>16.667626953125023</v>
      </c>
      <c r="G287">
        <v>13.440022468566895</v>
      </c>
      <c r="H287">
        <f>SQRT(Sayfa1!D287^2+Sayfa1!E287^2)</f>
        <v>3.173221169205962</v>
      </c>
      <c r="I287">
        <f>SUM(Sayfa1!G264:G287)</f>
        <v>0</v>
      </c>
    </row>
    <row r="288" spans="1:9" x14ac:dyDescent="0.3">
      <c r="A288">
        <v>-118.5</v>
      </c>
      <c r="B288">
        <v>34.25</v>
      </c>
      <c r="C288">
        <v>2025</v>
      </c>
      <c r="D288">
        <v>1</v>
      </c>
      <c r="E288">
        <v>12</v>
      </c>
      <c r="F288">
        <f>Sayfa1!C288-273.15</f>
        <v>17.301599121093773</v>
      </c>
      <c r="G288">
        <v>14.409798622131348</v>
      </c>
      <c r="H288">
        <f>SQRT(Sayfa1!D288^2+Sayfa1!E288^2)</f>
        <v>2.1416386500207429</v>
      </c>
      <c r="I288">
        <f>SUM(Sayfa1!G265:G288)</f>
        <v>0</v>
      </c>
    </row>
    <row r="289" spans="1:9" x14ac:dyDescent="0.3">
      <c r="A289">
        <v>-118.5</v>
      </c>
      <c r="B289">
        <v>34.25</v>
      </c>
      <c r="C289">
        <v>2025</v>
      </c>
      <c r="D289">
        <v>1</v>
      </c>
      <c r="E289">
        <v>12</v>
      </c>
      <c r="F289">
        <f>Sayfa1!C289-273.15</f>
        <v>17.635705566406273</v>
      </c>
      <c r="G289">
        <v>14.007668495178223</v>
      </c>
      <c r="H289">
        <f>SQRT(Sayfa1!D289^2+Sayfa1!E289^2)</f>
        <v>1.9115715577051815</v>
      </c>
      <c r="I289">
        <f>SUM(Sayfa1!G266:G289)</f>
        <v>0</v>
      </c>
    </row>
    <row r="290" spans="1:9" x14ac:dyDescent="0.3">
      <c r="A290">
        <v>-118.5</v>
      </c>
      <c r="B290">
        <v>34.25</v>
      </c>
      <c r="C290">
        <v>2025</v>
      </c>
      <c r="D290">
        <v>1</v>
      </c>
      <c r="E290">
        <v>13</v>
      </c>
      <c r="F290">
        <f>Sayfa1!C290-273.15</f>
        <v>17.736596679687523</v>
      </c>
      <c r="G290">
        <v>13.279613494873047</v>
      </c>
      <c r="H290">
        <f>SQRT(Sayfa1!D290^2+Sayfa1!E290^2)</f>
        <v>1.5571499617801703</v>
      </c>
      <c r="I290">
        <f>SUM(Sayfa1!G267:G290)</f>
        <v>0</v>
      </c>
    </row>
    <row r="291" spans="1:9" x14ac:dyDescent="0.3">
      <c r="A291">
        <v>-118.5</v>
      </c>
      <c r="B291">
        <v>34.25</v>
      </c>
      <c r="C291">
        <v>2025</v>
      </c>
      <c r="D291">
        <v>1</v>
      </c>
      <c r="E291">
        <v>13</v>
      </c>
      <c r="F291">
        <f>Sayfa1!C291-273.15</f>
        <v>17.420312500000023</v>
      </c>
      <c r="G291">
        <v>13.926426887512207</v>
      </c>
      <c r="H291">
        <f>SQRT(Sayfa1!D291^2+Sayfa1!E291^2)</f>
        <v>1.346423515221107</v>
      </c>
      <c r="I291">
        <f>SUM(Sayfa1!G268:G291)</f>
        <v>0</v>
      </c>
    </row>
    <row r="292" spans="1:9" x14ac:dyDescent="0.3">
      <c r="A292">
        <v>-118.5</v>
      </c>
      <c r="B292">
        <v>34.25</v>
      </c>
      <c r="C292">
        <v>2025</v>
      </c>
      <c r="D292">
        <v>1</v>
      </c>
      <c r="E292">
        <v>13</v>
      </c>
      <c r="F292">
        <f>Sayfa1!C292-273.15</f>
        <v>16.779077148437523</v>
      </c>
      <c r="G292">
        <v>14.800220489501953</v>
      </c>
      <c r="H292">
        <f>SQRT(Sayfa1!D292^2+Sayfa1!E292^2)</f>
        <v>1.7635476458981141</v>
      </c>
      <c r="I292">
        <f>SUM(Sayfa1!G269:G292)</f>
        <v>0</v>
      </c>
    </row>
    <row r="293" spans="1:9" x14ac:dyDescent="0.3">
      <c r="A293">
        <v>-118.5</v>
      </c>
      <c r="B293">
        <v>34.25</v>
      </c>
      <c r="C293">
        <v>2025</v>
      </c>
      <c r="D293">
        <v>1</v>
      </c>
      <c r="E293">
        <v>13</v>
      </c>
      <c r="F293">
        <f>Sayfa1!C293-273.15</f>
        <v>16.091577148437523</v>
      </c>
      <c r="G293">
        <v>16.1539306640625</v>
      </c>
      <c r="H293">
        <f>SQRT(Sayfa1!D293^2+Sayfa1!E293^2)</f>
        <v>2.2067217105510553</v>
      </c>
      <c r="I293">
        <f>SUM(Sayfa1!G270:G293)</f>
        <v>0</v>
      </c>
    </row>
    <row r="294" spans="1:9" x14ac:dyDescent="0.3">
      <c r="A294">
        <v>-118.5</v>
      </c>
      <c r="B294">
        <v>34.25</v>
      </c>
      <c r="C294">
        <v>2025</v>
      </c>
      <c r="D294">
        <v>1</v>
      </c>
      <c r="E294">
        <v>13</v>
      </c>
      <c r="F294">
        <f>Sayfa1!C294-273.15</f>
        <v>15.403161621093773</v>
      </c>
      <c r="G294">
        <v>20.537460327148438</v>
      </c>
      <c r="H294">
        <f>SQRT(Sayfa1!D294^2+Sayfa1!E294^2)</f>
        <v>2.3574303373628953</v>
      </c>
      <c r="I294">
        <f>SUM(Sayfa1!G271:G294)</f>
        <v>0</v>
      </c>
    </row>
    <row r="295" spans="1:9" x14ac:dyDescent="0.3">
      <c r="A295">
        <v>-118.5</v>
      </c>
      <c r="B295">
        <v>34.25</v>
      </c>
      <c r="C295">
        <v>2025</v>
      </c>
      <c r="D295">
        <v>1</v>
      </c>
      <c r="E295">
        <v>13</v>
      </c>
      <c r="F295">
        <f>Sayfa1!C295-273.15</f>
        <v>14.880639648437523</v>
      </c>
      <c r="G295">
        <v>25.685440063476563</v>
      </c>
      <c r="H295">
        <f>SQRT(Sayfa1!D295^2+Sayfa1!E295^2)</f>
        <v>2.4386093309172292</v>
      </c>
      <c r="I295">
        <f>SUM(Sayfa1!G272:G295)</f>
        <v>0</v>
      </c>
    </row>
    <row r="296" spans="1:9" x14ac:dyDescent="0.3">
      <c r="A296">
        <v>-118.5</v>
      </c>
      <c r="B296">
        <v>34.25</v>
      </c>
      <c r="C296">
        <v>2025</v>
      </c>
      <c r="D296">
        <v>1</v>
      </c>
      <c r="E296">
        <v>13</v>
      </c>
      <c r="F296">
        <f>Sayfa1!C296-273.15</f>
        <v>14.512597656250023</v>
      </c>
      <c r="G296">
        <v>28.231353759765625</v>
      </c>
      <c r="H296">
        <f>SQRT(Sayfa1!D296^2+Sayfa1!E296^2)</f>
        <v>2.585095407890615</v>
      </c>
      <c r="I296">
        <f>SUM(Sayfa1!G273:G296)</f>
        <v>0</v>
      </c>
    </row>
    <row r="297" spans="1:9" x14ac:dyDescent="0.3">
      <c r="A297">
        <v>-118.5</v>
      </c>
      <c r="B297">
        <v>34.25</v>
      </c>
      <c r="C297">
        <v>2025</v>
      </c>
      <c r="D297">
        <v>1</v>
      </c>
      <c r="E297">
        <v>13</v>
      </c>
      <c r="F297">
        <f>Sayfa1!C297-273.15</f>
        <v>14.267663574218773</v>
      </c>
      <c r="G297">
        <v>31.193618774414063</v>
      </c>
      <c r="H297">
        <f>SQRT(Sayfa1!D297^2+Sayfa1!E297^2)</f>
        <v>2.6254882413879388</v>
      </c>
      <c r="I297">
        <f>SUM(Sayfa1!G274:G297)</f>
        <v>0</v>
      </c>
    </row>
    <row r="298" spans="1:9" x14ac:dyDescent="0.3">
      <c r="A298">
        <v>-118.5</v>
      </c>
      <c r="B298">
        <v>34.25</v>
      </c>
      <c r="C298">
        <v>2025</v>
      </c>
      <c r="D298">
        <v>1</v>
      </c>
      <c r="E298">
        <v>13</v>
      </c>
      <c r="F298">
        <f>Sayfa1!C298-273.15</f>
        <v>14.151757812500023</v>
      </c>
      <c r="G298">
        <v>34.041610717773438</v>
      </c>
      <c r="H298">
        <f>SQRT(Sayfa1!D298^2+Sayfa1!E298^2)</f>
        <v>2.6335590097738915</v>
      </c>
      <c r="I298">
        <f>SUM(Sayfa1!G275:G298)</f>
        <v>0</v>
      </c>
    </row>
    <row r="299" spans="1:9" x14ac:dyDescent="0.3">
      <c r="A299">
        <v>-118.5</v>
      </c>
      <c r="B299">
        <v>34.25</v>
      </c>
      <c r="C299">
        <v>2025</v>
      </c>
      <c r="D299">
        <v>1</v>
      </c>
      <c r="E299">
        <v>13</v>
      </c>
      <c r="F299">
        <f>Sayfa1!C299-273.15</f>
        <v>14.081506347656273</v>
      </c>
      <c r="G299">
        <v>36.360015869140625</v>
      </c>
      <c r="H299">
        <f>SQRT(Sayfa1!D299^2+Sayfa1!E299^2)</f>
        <v>2.6872820804387927</v>
      </c>
      <c r="I299">
        <f>SUM(Sayfa1!G276:G299)</f>
        <v>0</v>
      </c>
    </row>
    <row r="300" spans="1:9" x14ac:dyDescent="0.3">
      <c r="A300">
        <v>-118.5</v>
      </c>
      <c r="B300">
        <v>34.25</v>
      </c>
      <c r="C300">
        <v>2025</v>
      </c>
      <c r="D300">
        <v>1</v>
      </c>
      <c r="E300">
        <v>13</v>
      </c>
      <c r="F300">
        <f>Sayfa1!C300-273.15</f>
        <v>13.903161621093773</v>
      </c>
      <c r="G300">
        <v>37.485111236572266</v>
      </c>
      <c r="H300">
        <f>SQRT(Sayfa1!D300^2+Sayfa1!E300^2)</f>
        <v>2.4690193478446023</v>
      </c>
      <c r="I300">
        <f>SUM(Sayfa1!G277:G300)</f>
        <v>0</v>
      </c>
    </row>
    <row r="301" spans="1:9" x14ac:dyDescent="0.3">
      <c r="A301">
        <v>-118.5</v>
      </c>
      <c r="B301">
        <v>34.25</v>
      </c>
      <c r="C301">
        <v>2025</v>
      </c>
      <c r="D301">
        <v>1</v>
      </c>
      <c r="E301">
        <v>13</v>
      </c>
      <c r="F301">
        <f>Sayfa1!C301-273.15</f>
        <v>13.601586914062523</v>
      </c>
      <c r="G301">
        <v>38.766792297363281</v>
      </c>
      <c r="H301">
        <f>SQRT(Sayfa1!D301^2+Sayfa1!E301^2)</f>
        <v>2.4682839137455699</v>
      </c>
      <c r="I301">
        <f>SUM(Sayfa1!G278:G301)</f>
        <v>0</v>
      </c>
    </row>
    <row r="302" spans="1:9" x14ac:dyDescent="0.3">
      <c r="A302">
        <v>-118.5</v>
      </c>
      <c r="B302">
        <v>34.25</v>
      </c>
      <c r="C302">
        <v>2025</v>
      </c>
      <c r="D302">
        <v>1</v>
      </c>
      <c r="E302">
        <v>13</v>
      </c>
      <c r="F302">
        <f>Sayfa1!C302-273.15</f>
        <v>13.194360351562523</v>
      </c>
      <c r="G302">
        <v>38.238773345947266</v>
      </c>
      <c r="H302">
        <f>SQRT(Sayfa1!D302^2+Sayfa1!E302^2)</f>
        <v>2.5785589287354544</v>
      </c>
      <c r="I302">
        <f>SUM(Sayfa1!G279:G302)</f>
        <v>0</v>
      </c>
    </row>
    <row r="303" spans="1:9" x14ac:dyDescent="0.3">
      <c r="A303">
        <v>-118.5</v>
      </c>
      <c r="B303">
        <v>34.25</v>
      </c>
      <c r="C303">
        <v>2025</v>
      </c>
      <c r="D303">
        <v>1</v>
      </c>
      <c r="E303">
        <v>13</v>
      </c>
      <c r="F303">
        <f>Sayfa1!C303-273.15</f>
        <v>12.732141113281273</v>
      </c>
      <c r="G303">
        <v>36.204784393310547</v>
      </c>
      <c r="H303">
        <f>SQRT(Sayfa1!D303^2+Sayfa1!E303^2)</f>
        <v>2.6048945405618409</v>
      </c>
      <c r="I303">
        <f>SUM(Sayfa1!G280:G303)</f>
        <v>0</v>
      </c>
    </row>
    <row r="304" spans="1:9" x14ac:dyDescent="0.3">
      <c r="A304">
        <v>-118.5</v>
      </c>
      <c r="B304">
        <v>34.25</v>
      </c>
      <c r="C304">
        <v>2025</v>
      </c>
      <c r="D304">
        <v>1</v>
      </c>
      <c r="E304">
        <v>13</v>
      </c>
      <c r="F304">
        <f>Sayfa1!C304-273.15</f>
        <v>12.343469238281273</v>
      </c>
      <c r="G304">
        <v>34.959075927734375</v>
      </c>
      <c r="H304">
        <f>SQRT(Sayfa1!D304^2+Sayfa1!E304^2)</f>
        <v>2.5166143392794376</v>
      </c>
      <c r="I304">
        <f>SUM(Sayfa1!G281:G304)</f>
        <v>0</v>
      </c>
    </row>
    <row r="305" spans="1:9" x14ac:dyDescent="0.3">
      <c r="A305">
        <v>-118.5</v>
      </c>
      <c r="B305">
        <v>34.25</v>
      </c>
      <c r="C305">
        <v>2025</v>
      </c>
      <c r="D305">
        <v>1</v>
      </c>
      <c r="E305">
        <v>13</v>
      </c>
      <c r="F305">
        <f>Sayfa1!C305-273.15</f>
        <v>11.889001464843773</v>
      </c>
      <c r="G305">
        <v>34.116455078125</v>
      </c>
      <c r="H305">
        <f>SQRT(Sayfa1!D305^2+Sayfa1!E305^2)</f>
        <v>2.6239662832325621</v>
      </c>
      <c r="I305">
        <f>SUM(Sayfa1!G282:G305)</f>
        <v>0</v>
      </c>
    </row>
    <row r="306" spans="1:9" x14ac:dyDescent="0.3">
      <c r="A306">
        <v>-118.5</v>
      </c>
      <c r="B306">
        <v>34.25</v>
      </c>
      <c r="C306">
        <v>2025</v>
      </c>
      <c r="D306">
        <v>1</v>
      </c>
      <c r="E306">
        <v>13</v>
      </c>
      <c r="F306">
        <f>Sayfa1!C306-273.15</f>
        <v>11.233972167968773</v>
      </c>
      <c r="G306">
        <v>29.145965576171875</v>
      </c>
      <c r="H306">
        <f>SQRT(Sayfa1!D306^2+Sayfa1!E306^2)</f>
        <v>3.0167267418130952</v>
      </c>
      <c r="I306">
        <f>SUM(Sayfa1!G283:G306)</f>
        <v>0</v>
      </c>
    </row>
    <row r="307" spans="1:9" x14ac:dyDescent="0.3">
      <c r="A307">
        <v>-118.5</v>
      </c>
      <c r="B307">
        <v>34.25</v>
      </c>
      <c r="C307">
        <v>2025</v>
      </c>
      <c r="D307">
        <v>1</v>
      </c>
      <c r="E307">
        <v>13</v>
      </c>
      <c r="F307">
        <f>Sayfa1!C307-273.15</f>
        <v>11.264611816406273</v>
      </c>
      <c r="G307">
        <v>22.8817138671875</v>
      </c>
      <c r="H307">
        <f>SQRT(Sayfa1!D307^2+Sayfa1!E307^2)</f>
        <v>3.5799800998037496</v>
      </c>
      <c r="I307">
        <f>SUM(Sayfa1!G284:G307)</f>
        <v>0</v>
      </c>
    </row>
    <row r="308" spans="1:9" x14ac:dyDescent="0.3">
      <c r="A308">
        <v>-118.5</v>
      </c>
      <c r="B308">
        <v>34.25</v>
      </c>
      <c r="C308">
        <v>2025</v>
      </c>
      <c r="D308">
        <v>1</v>
      </c>
      <c r="E308">
        <v>13</v>
      </c>
      <c r="F308">
        <f>Sayfa1!C308-273.15</f>
        <v>12.622216796875023</v>
      </c>
      <c r="G308">
        <v>18.859268188476563</v>
      </c>
      <c r="H308">
        <f>SQRT(Sayfa1!D308^2+Sayfa1!E308^2)</f>
        <v>5.1847132159054272</v>
      </c>
      <c r="I308">
        <f>SUM(Sayfa1!G285:G308)</f>
        <v>0</v>
      </c>
    </row>
    <row r="309" spans="1:9" x14ac:dyDescent="0.3">
      <c r="A309">
        <v>-118.5</v>
      </c>
      <c r="B309">
        <v>34.25</v>
      </c>
      <c r="C309">
        <v>2025</v>
      </c>
      <c r="D309">
        <v>1</v>
      </c>
      <c r="E309">
        <v>13</v>
      </c>
      <c r="F309">
        <f>Sayfa1!C309-273.15</f>
        <v>13.729455566406273</v>
      </c>
      <c r="G309">
        <v>16.713623046875</v>
      </c>
      <c r="H309">
        <f>SQRT(Sayfa1!D309^2+Sayfa1!E309^2)</f>
        <v>5.2855020765749643</v>
      </c>
      <c r="I309">
        <f>SUM(Sayfa1!G286:G309)</f>
        <v>0</v>
      </c>
    </row>
    <row r="310" spans="1:9" x14ac:dyDescent="0.3">
      <c r="A310">
        <v>-118.5</v>
      </c>
      <c r="B310">
        <v>34.25</v>
      </c>
      <c r="C310">
        <v>2025</v>
      </c>
      <c r="D310">
        <v>1</v>
      </c>
      <c r="E310">
        <v>13</v>
      </c>
      <c r="F310">
        <f>Sayfa1!C310-273.15</f>
        <v>14.494653320312523</v>
      </c>
      <c r="G310">
        <v>15.178842544555664</v>
      </c>
      <c r="H310">
        <f>SQRT(Sayfa1!D310^2+Sayfa1!E310^2)</f>
        <v>4.936086550457385</v>
      </c>
      <c r="I310">
        <f>SUM(Sayfa1!G287:G310)</f>
        <v>0</v>
      </c>
    </row>
    <row r="311" spans="1:9" x14ac:dyDescent="0.3">
      <c r="A311">
        <v>-118.5</v>
      </c>
      <c r="B311">
        <v>34.25</v>
      </c>
      <c r="C311">
        <v>2025</v>
      </c>
      <c r="D311">
        <v>1</v>
      </c>
      <c r="E311">
        <v>13</v>
      </c>
      <c r="F311">
        <f>Sayfa1!C311-273.15</f>
        <v>15.108911132812523</v>
      </c>
      <c r="G311">
        <v>13.948680877685547</v>
      </c>
      <c r="H311">
        <f>SQRT(Sayfa1!D311^2+Sayfa1!E311^2)</f>
        <v>4.6427087814576229</v>
      </c>
      <c r="I311">
        <f>SUM(Sayfa1!G288:G311)</f>
        <v>0</v>
      </c>
    </row>
    <row r="312" spans="1:9" x14ac:dyDescent="0.3">
      <c r="A312">
        <v>-118.5</v>
      </c>
      <c r="B312">
        <v>34.25</v>
      </c>
      <c r="C312">
        <v>2025</v>
      </c>
      <c r="D312">
        <v>1</v>
      </c>
      <c r="E312">
        <v>13</v>
      </c>
      <c r="F312">
        <f>Sayfa1!C312-273.15</f>
        <v>15.829797363281273</v>
      </c>
      <c r="G312">
        <v>13.484996795654297</v>
      </c>
      <c r="H312">
        <f>SQRT(Sayfa1!D312^2+Sayfa1!E312^2)</f>
        <v>3.362004325984723</v>
      </c>
      <c r="I312">
        <f>SUM(Sayfa1!G289:G312)</f>
        <v>0</v>
      </c>
    </row>
    <row r="313" spans="1:9" x14ac:dyDescent="0.3">
      <c r="A313">
        <v>-118.5</v>
      </c>
      <c r="B313">
        <v>34.25</v>
      </c>
      <c r="C313">
        <v>2025</v>
      </c>
      <c r="D313">
        <v>1</v>
      </c>
      <c r="E313">
        <v>13</v>
      </c>
      <c r="F313">
        <f>Sayfa1!C313-273.15</f>
        <v>16.299401855468773</v>
      </c>
      <c r="G313">
        <v>12.80244255065918</v>
      </c>
      <c r="H313">
        <f>SQRT(Sayfa1!D313^2+Sayfa1!E313^2)</f>
        <v>3.0588141493782137</v>
      </c>
      <c r="I313">
        <f>SUM(Sayfa1!G290:G313)</f>
        <v>0</v>
      </c>
    </row>
    <row r="314" spans="1:9" x14ac:dyDescent="0.3">
      <c r="A314">
        <v>-118.5</v>
      </c>
      <c r="B314">
        <v>34.25</v>
      </c>
      <c r="C314">
        <v>2025</v>
      </c>
      <c r="D314">
        <v>1</v>
      </c>
      <c r="E314">
        <v>14</v>
      </c>
      <c r="F314">
        <f>Sayfa1!C314-273.15</f>
        <v>16.320703125000023</v>
      </c>
      <c r="G314">
        <v>12.84574031829834</v>
      </c>
      <c r="H314">
        <f>SQRT(Sayfa1!D314^2+Sayfa1!E314^2)</f>
        <v>2.4470446562295511</v>
      </c>
      <c r="I314">
        <f>SUM(Sayfa1!G291:G314)</f>
        <v>0</v>
      </c>
    </row>
    <row r="315" spans="1:9" x14ac:dyDescent="0.3">
      <c r="A315">
        <v>-118.5</v>
      </c>
      <c r="B315">
        <v>34.25</v>
      </c>
      <c r="C315">
        <v>2025</v>
      </c>
      <c r="D315">
        <v>1</v>
      </c>
      <c r="E315">
        <v>14</v>
      </c>
      <c r="F315">
        <f>Sayfa1!C315-273.15</f>
        <v>15.899438476562523</v>
      </c>
      <c r="G315">
        <v>14.335268974304199</v>
      </c>
      <c r="H315">
        <f>SQRT(Sayfa1!D315^2+Sayfa1!E315^2)</f>
        <v>1.6737045681484772</v>
      </c>
      <c r="I315">
        <f>SUM(Sayfa1!G292:G315)</f>
        <v>0</v>
      </c>
    </row>
    <row r="316" spans="1:9" x14ac:dyDescent="0.3">
      <c r="A316">
        <v>-118.5</v>
      </c>
      <c r="B316">
        <v>34.25</v>
      </c>
      <c r="C316">
        <v>2025</v>
      </c>
      <c r="D316">
        <v>1</v>
      </c>
      <c r="E316">
        <v>14</v>
      </c>
      <c r="F316">
        <f>Sayfa1!C316-273.15</f>
        <v>15.199487304687523</v>
      </c>
      <c r="G316">
        <v>16.036542892456055</v>
      </c>
      <c r="H316">
        <f>SQRT(Sayfa1!D316^2+Sayfa1!E316^2)</f>
        <v>1.942183892954199</v>
      </c>
      <c r="I316">
        <f>SUM(Sayfa1!G293:G316)</f>
        <v>0</v>
      </c>
    </row>
    <row r="317" spans="1:9" x14ac:dyDescent="0.3">
      <c r="A317">
        <v>-118.5</v>
      </c>
      <c r="B317">
        <v>34.25</v>
      </c>
      <c r="C317">
        <v>2025</v>
      </c>
      <c r="D317">
        <v>1</v>
      </c>
      <c r="E317">
        <v>14</v>
      </c>
      <c r="F317">
        <f>Sayfa1!C317-273.15</f>
        <v>14.533410644531273</v>
      </c>
      <c r="G317">
        <v>18.433650970458984</v>
      </c>
      <c r="H317">
        <f>SQRT(Sayfa1!D317^2+Sayfa1!E317^2)</f>
        <v>2.3271894257750119</v>
      </c>
      <c r="I317">
        <f>SUM(Sayfa1!G294:G317)</f>
        <v>0</v>
      </c>
    </row>
    <row r="318" spans="1:9" x14ac:dyDescent="0.3">
      <c r="A318">
        <v>-118.5</v>
      </c>
      <c r="B318">
        <v>34.25</v>
      </c>
      <c r="C318">
        <v>2025</v>
      </c>
      <c r="D318">
        <v>1</v>
      </c>
      <c r="E318">
        <v>14</v>
      </c>
      <c r="F318">
        <f>Sayfa1!C318-273.15</f>
        <v>14.037927246093773</v>
      </c>
      <c r="G318">
        <v>20.841413497924805</v>
      </c>
      <c r="H318">
        <f>SQRT(Sayfa1!D318^2+Sayfa1!E318^2)</f>
        <v>2.4875969290587201</v>
      </c>
      <c r="I318">
        <f>SUM(Sayfa1!G295:G318)</f>
        <v>0</v>
      </c>
    </row>
    <row r="319" spans="1:9" x14ac:dyDescent="0.3">
      <c r="A319">
        <v>-118.5</v>
      </c>
      <c r="B319">
        <v>34.25</v>
      </c>
      <c r="C319">
        <v>2025</v>
      </c>
      <c r="D319">
        <v>1</v>
      </c>
      <c r="E319">
        <v>14</v>
      </c>
      <c r="F319">
        <f>Sayfa1!C319-273.15</f>
        <v>13.578759765625023</v>
      </c>
      <c r="G319">
        <v>22.536199569702148</v>
      </c>
      <c r="H319">
        <f>SQRT(Sayfa1!D319^2+Sayfa1!E319^2)</f>
        <v>2.5819835963230573</v>
      </c>
      <c r="I319">
        <f>SUM(Sayfa1!G296:G319)</f>
        <v>0</v>
      </c>
    </row>
    <row r="320" spans="1:9" x14ac:dyDescent="0.3">
      <c r="A320">
        <v>-118.5</v>
      </c>
      <c r="B320">
        <v>34.25</v>
      </c>
      <c r="C320">
        <v>2025</v>
      </c>
      <c r="D320">
        <v>1</v>
      </c>
      <c r="E320">
        <v>14</v>
      </c>
      <c r="F320">
        <f>Sayfa1!C320-273.15</f>
        <v>13.190759277343773</v>
      </c>
      <c r="G320">
        <v>24.098934173583984</v>
      </c>
      <c r="H320">
        <f>SQRT(Sayfa1!D320^2+Sayfa1!E320^2)</f>
        <v>2.604011694653114</v>
      </c>
      <c r="I320">
        <f>SUM(Sayfa1!G297:G320)</f>
        <v>0</v>
      </c>
    </row>
    <row r="321" spans="1:9" x14ac:dyDescent="0.3">
      <c r="A321">
        <v>-118.5</v>
      </c>
      <c r="B321">
        <v>34.25</v>
      </c>
      <c r="C321">
        <v>2025</v>
      </c>
      <c r="D321">
        <v>1</v>
      </c>
      <c r="E321">
        <v>14</v>
      </c>
      <c r="F321">
        <f>Sayfa1!C321-273.15</f>
        <v>12.956567382812523</v>
      </c>
      <c r="G321">
        <v>26.170211791992188</v>
      </c>
      <c r="H321">
        <f>SQRT(Sayfa1!D321^2+Sayfa1!E321^2)</f>
        <v>2.5815009173137069</v>
      </c>
      <c r="I321">
        <f>SUM(Sayfa1!G298:G321)</f>
        <v>0</v>
      </c>
    </row>
    <row r="322" spans="1:9" x14ac:dyDescent="0.3">
      <c r="A322">
        <v>-118.5</v>
      </c>
      <c r="B322">
        <v>34.25</v>
      </c>
      <c r="C322">
        <v>2025</v>
      </c>
      <c r="D322">
        <v>1</v>
      </c>
      <c r="E322">
        <v>14</v>
      </c>
      <c r="F322">
        <f>Sayfa1!C322-273.15</f>
        <v>12.812890625000023</v>
      </c>
      <c r="G322">
        <v>28.735256195068359</v>
      </c>
      <c r="H322">
        <f>SQRT(Sayfa1!D322^2+Sayfa1!E322^2)</f>
        <v>2.5913947278700449</v>
      </c>
      <c r="I322">
        <f>SUM(Sayfa1!G299:G322)</f>
        <v>0</v>
      </c>
    </row>
    <row r="323" spans="1:9" x14ac:dyDescent="0.3">
      <c r="A323">
        <v>-118.5</v>
      </c>
      <c r="B323">
        <v>34.25</v>
      </c>
      <c r="C323">
        <v>2025</v>
      </c>
      <c r="D323">
        <v>1</v>
      </c>
      <c r="E323">
        <v>14</v>
      </c>
      <c r="F323">
        <f>Sayfa1!C323-273.15</f>
        <v>12.611352539062523</v>
      </c>
      <c r="G323">
        <v>30.012317657470703</v>
      </c>
      <c r="H323">
        <f>SQRT(Sayfa1!D323^2+Sayfa1!E323^2)</f>
        <v>2.6749001922388476</v>
      </c>
      <c r="I323">
        <f>SUM(Sayfa1!G300:G323)</f>
        <v>0</v>
      </c>
    </row>
    <row r="324" spans="1:9" x14ac:dyDescent="0.3">
      <c r="A324">
        <v>-118.5</v>
      </c>
      <c r="B324">
        <v>34.25</v>
      </c>
      <c r="C324">
        <v>2025</v>
      </c>
      <c r="D324">
        <v>1</v>
      </c>
      <c r="E324">
        <v>14</v>
      </c>
      <c r="F324">
        <f>Sayfa1!C324-273.15</f>
        <v>12.708398437500023</v>
      </c>
      <c r="G324">
        <v>30.449817657470703</v>
      </c>
      <c r="H324">
        <f>SQRT(Sayfa1!D324^2+Sayfa1!E324^2)</f>
        <v>2.326154441451878</v>
      </c>
      <c r="I324">
        <f>SUM(Sayfa1!G301:G324)</f>
        <v>0</v>
      </c>
    </row>
    <row r="325" spans="1:9" x14ac:dyDescent="0.3">
      <c r="A325">
        <v>-118.5</v>
      </c>
      <c r="B325">
        <v>34.25</v>
      </c>
      <c r="C325">
        <v>2025</v>
      </c>
      <c r="D325">
        <v>1</v>
      </c>
      <c r="E325">
        <v>14</v>
      </c>
      <c r="F325">
        <f>Sayfa1!C325-273.15</f>
        <v>12.937097167968773</v>
      </c>
      <c r="G325">
        <v>33.887596130371094</v>
      </c>
      <c r="H325">
        <f>SQRT(Sayfa1!D325^2+Sayfa1!E325^2)</f>
        <v>2.3510932456144849</v>
      </c>
      <c r="I325">
        <f>SUM(Sayfa1!G302:G325)</f>
        <v>0</v>
      </c>
    </row>
    <row r="326" spans="1:9" x14ac:dyDescent="0.3">
      <c r="A326">
        <v>-118.5</v>
      </c>
      <c r="B326">
        <v>34.25</v>
      </c>
      <c r="C326">
        <v>2025</v>
      </c>
      <c r="D326">
        <v>1</v>
      </c>
      <c r="E326">
        <v>14</v>
      </c>
      <c r="F326">
        <f>Sayfa1!C326-273.15</f>
        <v>13.194421386718773</v>
      </c>
      <c r="G326">
        <v>36.625404357910156</v>
      </c>
      <c r="H326">
        <f>SQRT(Sayfa1!D326^2+Sayfa1!E326^2)</f>
        <v>2.4706360021904592</v>
      </c>
      <c r="I326">
        <f>SUM(Sayfa1!G303:G326)</f>
        <v>0</v>
      </c>
    </row>
    <row r="327" spans="1:9" x14ac:dyDescent="0.3">
      <c r="A327">
        <v>-118.5</v>
      </c>
      <c r="B327">
        <v>34.25</v>
      </c>
      <c r="C327">
        <v>2025</v>
      </c>
      <c r="D327">
        <v>1</v>
      </c>
      <c r="E327">
        <v>14</v>
      </c>
      <c r="F327">
        <f>Sayfa1!C327-273.15</f>
        <v>13.407373046875023</v>
      </c>
      <c r="G327">
        <v>38.329147338867188</v>
      </c>
      <c r="H327">
        <f>SQRT(Sayfa1!D327^2+Sayfa1!E327^2)</f>
        <v>2.5178185767808205</v>
      </c>
      <c r="I327">
        <f>SUM(Sayfa1!G304:G327)</f>
        <v>0</v>
      </c>
    </row>
    <row r="328" spans="1:9" x14ac:dyDescent="0.3">
      <c r="A328">
        <v>-118.5</v>
      </c>
      <c r="B328">
        <v>34.25</v>
      </c>
      <c r="C328">
        <v>2025</v>
      </c>
      <c r="D328">
        <v>1</v>
      </c>
      <c r="E328">
        <v>14</v>
      </c>
      <c r="F328">
        <f>Sayfa1!C328-273.15</f>
        <v>13.440759277343773</v>
      </c>
      <c r="G328">
        <v>39.411094665527344</v>
      </c>
      <c r="H328">
        <f>SQRT(Sayfa1!D328^2+Sayfa1!E328^2)</f>
        <v>2.5650812075456</v>
      </c>
      <c r="I328">
        <f>SUM(Sayfa1!G305:G328)</f>
        <v>0</v>
      </c>
    </row>
    <row r="329" spans="1:9" x14ac:dyDescent="0.3">
      <c r="A329">
        <v>-118.5</v>
      </c>
      <c r="B329">
        <v>34.25</v>
      </c>
      <c r="C329">
        <v>2025</v>
      </c>
      <c r="D329">
        <v>1</v>
      </c>
      <c r="E329">
        <v>14</v>
      </c>
      <c r="F329">
        <f>Sayfa1!C329-273.15</f>
        <v>13.175317382812523</v>
      </c>
      <c r="G329">
        <v>39.864082336425781</v>
      </c>
      <c r="H329">
        <f>SQRT(Sayfa1!D329^2+Sayfa1!E329^2)</f>
        <v>2.6374414667224442</v>
      </c>
      <c r="I329">
        <f>SUM(Sayfa1!G306:G329)</f>
        <v>0</v>
      </c>
    </row>
    <row r="330" spans="1:9" x14ac:dyDescent="0.3">
      <c r="A330">
        <v>-118.5</v>
      </c>
      <c r="B330">
        <v>34.25</v>
      </c>
      <c r="C330">
        <v>2025</v>
      </c>
      <c r="D330">
        <v>1</v>
      </c>
      <c r="E330">
        <v>14</v>
      </c>
      <c r="F330">
        <f>Sayfa1!C330-273.15</f>
        <v>12.841210937500023</v>
      </c>
      <c r="G330">
        <v>37.02313232421875</v>
      </c>
      <c r="H330">
        <f>SQRT(Sayfa1!D330^2+Sayfa1!E330^2)</f>
        <v>2.3423968185725554</v>
      </c>
      <c r="I330">
        <f>SUM(Sayfa1!G307:G330)</f>
        <v>0</v>
      </c>
    </row>
    <row r="331" spans="1:9" x14ac:dyDescent="0.3">
      <c r="A331">
        <v>-118.5</v>
      </c>
      <c r="B331">
        <v>34.25</v>
      </c>
      <c r="C331">
        <v>2025</v>
      </c>
      <c r="D331">
        <v>1</v>
      </c>
      <c r="E331">
        <v>14</v>
      </c>
      <c r="F331">
        <f>Sayfa1!C331-273.15</f>
        <v>12.429223632812523</v>
      </c>
      <c r="G331">
        <v>27.513435363769531</v>
      </c>
      <c r="H331">
        <f>SQRT(Sayfa1!D331^2+Sayfa1!E331^2)</f>
        <v>1.9020260001084799</v>
      </c>
      <c r="I331">
        <f>SUM(Sayfa1!G308:G331)</f>
        <v>0</v>
      </c>
    </row>
    <row r="332" spans="1:9" x14ac:dyDescent="0.3">
      <c r="A332">
        <v>-118.5</v>
      </c>
      <c r="B332">
        <v>34.25</v>
      </c>
      <c r="C332">
        <v>2025</v>
      </c>
      <c r="D332">
        <v>1</v>
      </c>
      <c r="E332">
        <v>14</v>
      </c>
      <c r="F332">
        <f>Sayfa1!C332-273.15</f>
        <v>13.326745605468773</v>
      </c>
      <c r="G332">
        <v>18.150192260742188</v>
      </c>
      <c r="H332">
        <f>SQRT(Sayfa1!D332^2+Sayfa1!E332^2)</f>
        <v>2.5779000549006361</v>
      </c>
      <c r="I332">
        <f>SUM(Sayfa1!G309:G332)</f>
        <v>0</v>
      </c>
    </row>
    <row r="333" spans="1:9" x14ac:dyDescent="0.3">
      <c r="A333">
        <v>-118.5</v>
      </c>
      <c r="B333">
        <v>34.25</v>
      </c>
      <c r="C333">
        <v>2025</v>
      </c>
      <c r="D333">
        <v>1</v>
      </c>
      <c r="E333">
        <v>14</v>
      </c>
      <c r="F333">
        <f>Sayfa1!C333-273.15</f>
        <v>15.045739746093773</v>
      </c>
      <c r="G333">
        <v>15.344247817993164</v>
      </c>
      <c r="H333">
        <f>SQRT(Sayfa1!D333^2+Sayfa1!E333^2)</f>
        <v>3.4826697686138717</v>
      </c>
      <c r="I333">
        <f>SUM(Sayfa1!G310:G333)</f>
        <v>0</v>
      </c>
    </row>
    <row r="334" spans="1:9" x14ac:dyDescent="0.3">
      <c r="A334">
        <v>-118.5</v>
      </c>
      <c r="B334">
        <v>34.25</v>
      </c>
      <c r="C334">
        <v>2025</v>
      </c>
      <c r="D334">
        <v>1</v>
      </c>
      <c r="E334">
        <v>14</v>
      </c>
      <c r="F334">
        <f>Sayfa1!C334-273.15</f>
        <v>16.182031250000023</v>
      </c>
      <c r="G334">
        <v>14.251042366027832</v>
      </c>
      <c r="H334">
        <f>SQRT(Sayfa1!D334^2+Sayfa1!E334^2)</f>
        <v>3.2060389678484298</v>
      </c>
      <c r="I334">
        <f>SUM(Sayfa1!G311:G334)</f>
        <v>0</v>
      </c>
    </row>
    <row r="335" spans="1:9" x14ac:dyDescent="0.3">
      <c r="A335">
        <v>-118.5</v>
      </c>
      <c r="B335">
        <v>34.25</v>
      </c>
      <c r="C335">
        <v>2025</v>
      </c>
      <c r="D335">
        <v>1</v>
      </c>
      <c r="E335">
        <v>14</v>
      </c>
      <c r="F335">
        <f>Sayfa1!C335-273.15</f>
        <v>17.055932617187523</v>
      </c>
      <c r="G335">
        <v>13.278213500976563</v>
      </c>
      <c r="H335">
        <f>SQRT(Sayfa1!D335^2+Sayfa1!E335^2)</f>
        <v>3.2379384004934813</v>
      </c>
      <c r="I335">
        <f>SUM(Sayfa1!G312:G335)</f>
        <v>0</v>
      </c>
    </row>
    <row r="336" spans="1:9" x14ac:dyDescent="0.3">
      <c r="A336">
        <v>-118.5</v>
      </c>
      <c r="B336">
        <v>34.25</v>
      </c>
      <c r="C336">
        <v>2025</v>
      </c>
      <c r="D336">
        <v>1</v>
      </c>
      <c r="E336">
        <v>14</v>
      </c>
      <c r="F336">
        <f>Sayfa1!C336-273.15</f>
        <v>17.187890625000023</v>
      </c>
      <c r="G336">
        <v>13.761096000671387</v>
      </c>
      <c r="H336">
        <f>SQRT(Sayfa1!D336^2+Sayfa1!E336^2)</f>
        <v>2.408745197143642</v>
      </c>
      <c r="I336">
        <f>SUM(Sayfa1!G313:G336)</f>
        <v>0</v>
      </c>
    </row>
    <row r="337" spans="1:9" x14ac:dyDescent="0.3">
      <c r="A337">
        <v>-118.5</v>
      </c>
      <c r="B337">
        <v>34.25</v>
      </c>
      <c r="C337">
        <v>2025</v>
      </c>
      <c r="D337">
        <v>1</v>
      </c>
      <c r="E337">
        <v>14</v>
      </c>
      <c r="F337">
        <f>Sayfa1!C337-273.15</f>
        <v>18.077294921875023</v>
      </c>
      <c r="G337">
        <v>12.386940002441406</v>
      </c>
      <c r="H337">
        <f>SQRT(Sayfa1!D337^2+Sayfa1!E337^2)</f>
        <v>2.7491336838092897</v>
      </c>
      <c r="I337">
        <f>SUM(Sayfa1!G314:G337)</f>
        <v>0</v>
      </c>
    </row>
    <row r="338" spans="1:9" x14ac:dyDescent="0.3">
      <c r="A338">
        <v>-118.5</v>
      </c>
      <c r="B338">
        <v>34.25</v>
      </c>
      <c r="C338">
        <v>2025</v>
      </c>
      <c r="D338">
        <v>1</v>
      </c>
      <c r="E338">
        <v>15</v>
      </c>
      <c r="F338">
        <f>Sayfa1!C338-273.15</f>
        <v>18.450524902343773</v>
      </c>
      <c r="G338">
        <v>11.481573104858398</v>
      </c>
      <c r="H338">
        <f>SQRT(Sayfa1!D338^2+Sayfa1!E338^2)</f>
        <v>2.3332902744619286</v>
      </c>
      <c r="I338">
        <f>SUM(Sayfa1!G315:G338)</f>
        <v>0</v>
      </c>
    </row>
    <row r="339" spans="1:9" x14ac:dyDescent="0.3">
      <c r="A339">
        <v>-118.5</v>
      </c>
      <c r="B339">
        <v>34.25</v>
      </c>
      <c r="C339">
        <v>2025</v>
      </c>
      <c r="D339">
        <v>1</v>
      </c>
      <c r="E339">
        <v>15</v>
      </c>
      <c r="F339">
        <f>Sayfa1!C339-273.15</f>
        <v>18.098718261718773</v>
      </c>
      <c r="G339">
        <v>12.452654838562012</v>
      </c>
      <c r="H339">
        <f>SQRT(Sayfa1!D339^2+Sayfa1!E339^2)</f>
        <v>1.8586586190256427</v>
      </c>
      <c r="I339">
        <f>SUM(Sayfa1!G316:G339)</f>
        <v>0</v>
      </c>
    </row>
    <row r="340" spans="1:9" x14ac:dyDescent="0.3">
      <c r="A340">
        <v>-118.5</v>
      </c>
      <c r="B340">
        <v>34.25</v>
      </c>
      <c r="C340">
        <v>2025</v>
      </c>
      <c r="D340">
        <v>1</v>
      </c>
      <c r="E340">
        <v>15</v>
      </c>
      <c r="F340">
        <f>Sayfa1!C340-273.15</f>
        <v>17.411950683593773</v>
      </c>
      <c r="G340">
        <v>15.244265556335449</v>
      </c>
      <c r="H340">
        <f>SQRT(Sayfa1!D340^2+Sayfa1!E340^2)</f>
        <v>2.0076442739177516</v>
      </c>
      <c r="I340">
        <f>SUM(Sayfa1!G317:G340)</f>
        <v>0</v>
      </c>
    </row>
    <row r="341" spans="1:9" x14ac:dyDescent="0.3">
      <c r="A341">
        <v>-118.5</v>
      </c>
      <c r="B341">
        <v>34.25</v>
      </c>
      <c r="C341">
        <v>2025</v>
      </c>
      <c r="D341">
        <v>1</v>
      </c>
      <c r="E341">
        <v>15</v>
      </c>
      <c r="F341">
        <f>Sayfa1!C341-273.15</f>
        <v>16.916894531250023</v>
      </c>
      <c r="G341">
        <v>18.801298141479492</v>
      </c>
      <c r="H341">
        <f>SQRT(Sayfa1!D341^2+Sayfa1!E341^2)</f>
        <v>2.2596745353150611</v>
      </c>
      <c r="I341">
        <f>SUM(Sayfa1!G318:G341)</f>
        <v>0</v>
      </c>
    </row>
    <row r="342" spans="1:9" x14ac:dyDescent="0.3">
      <c r="A342">
        <v>-118.5</v>
      </c>
      <c r="B342">
        <v>34.25</v>
      </c>
      <c r="C342">
        <v>2025</v>
      </c>
      <c r="D342">
        <v>1</v>
      </c>
      <c r="E342">
        <v>15</v>
      </c>
      <c r="F342">
        <f>Sayfa1!C342-273.15</f>
        <v>16.554711914062523</v>
      </c>
      <c r="G342">
        <v>22.466384887695313</v>
      </c>
      <c r="H342">
        <f>SQRT(Sayfa1!D342^2+Sayfa1!E342^2)</f>
        <v>2.388169873844967</v>
      </c>
      <c r="I342">
        <f>SUM(Sayfa1!G319:G342)</f>
        <v>0</v>
      </c>
    </row>
    <row r="343" spans="1:9" x14ac:dyDescent="0.3">
      <c r="A343">
        <v>-118.5</v>
      </c>
      <c r="B343">
        <v>34.25</v>
      </c>
      <c r="C343">
        <v>2025</v>
      </c>
      <c r="D343">
        <v>1</v>
      </c>
      <c r="E343">
        <v>15</v>
      </c>
      <c r="F343">
        <f>Sayfa1!C343-273.15</f>
        <v>16.238671875000023</v>
      </c>
      <c r="G343">
        <v>25.578598022460938</v>
      </c>
      <c r="H343">
        <f>SQRT(Sayfa1!D343^2+Sayfa1!E343^2)</f>
        <v>2.5246291342433054</v>
      </c>
      <c r="I343">
        <f>SUM(Sayfa1!G320:G343)</f>
        <v>0</v>
      </c>
    </row>
    <row r="344" spans="1:9" x14ac:dyDescent="0.3">
      <c r="A344">
        <v>-118.5</v>
      </c>
      <c r="B344">
        <v>34.25</v>
      </c>
      <c r="C344">
        <v>2025</v>
      </c>
      <c r="D344">
        <v>1</v>
      </c>
      <c r="E344">
        <v>15</v>
      </c>
      <c r="F344">
        <f>Sayfa1!C344-273.15</f>
        <v>15.922692871093773</v>
      </c>
      <c r="G344">
        <v>27.847488403320313</v>
      </c>
      <c r="H344">
        <f>SQRT(Sayfa1!D344^2+Sayfa1!E344^2)</f>
        <v>2.6712306205737866</v>
      </c>
      <c r="I344">
        <f>SUM(Sayfa1!G321:G344)</f>
        <v>0</v>
      </c>
    </row>
    <row r="345" spans="1:9" x14ac:dyDescent="0.3">
      <c r="A345">
        <v>-118.5</v>
      </c>
      <c r="B345">
        <v>34.25</v>
      </c>
      <c r="C345">
        <v>2025</v>
      </c>
      <c r="D345">
        <v>1</v>
      </c>
      <c r="E345">
        <v>15</v>
      </c>
      <c r="F345">
        <f>Sayfa1!C345-273.15</f>
        <v>15.583947753906273</v>
      </c>
      <c r="G345">
        <v>29.457279205322266</v>
      </c>
      <c r="H345">
        <f>SQRT(Sayfa1!D345^2+Sayfa1!E345^2)</f>
        <v>2.7114934973776648</v>
      </c>
      <c r="I345">
        <f>SUM(Sayfa1!G322:G345)</f>
        <v>0</v>
      </c>
    </row>
    <row r="346" spans="1:9" x14ac:dyDescent="0.3">
      <c r="A346">
        <v>-118.5</v>
      </c>
      <c r="B346">
        <v>34.25</v>
      </c>
      <c r="C346">
        <v>2025</v>
      </c>
      <c r="D346">
        <v>1</v>
      </c>
      <c r="E346">
        <v>15</v>
      </c>
      <c r="F346">
        <f>Sayfa1!C346-273.15</f>
        <v>15.299035644531273</v>
      </c>
      <c r="G346">
        <v>30.830184936523438</v>
      </c>
      <c r="H346">
        <f>SQRT(Sayfa1!D346^2+Sayfa1!E346^2)</f>
        <v>2.7581512001558175</v>
      </c>
      <c r="I346">
        <f>SUM(Sayfa1!G323:G346)</f>
        <v>0</v>
      </c>
    </row>
    <row r="347" spans="1:9" x14ac:dyDescent="0.3">
      <c r="A347">
        <v>-118.5</v>
      </c>
      <c r="B347">
        <v>34.25</v>
      </c>
      <c r="C347">
        <v>2025</v>
      </c>
      <c r="D347">
        <v>1</v>
      </c>
      <c r="E347">
        <v>15</v>
      </c>
      <c r="F347">
        <f>Sayfa1!C347-273.15</f>
        <v>15.148767089843773</v>
      </c>
      <c r="G347">
        <v>31.843374252319336</v>
      </c>
      <c r="H347">
        <f>SQRT(Sayfa1!D347^2+Sayfa1!E347^2)</f>
        <v>2.7836843762595884</v>
      </c>
      <c r="I347">
        <f>SUM(Sayfa1!G324:G347)</f>
        <v>0</v>
      </c>
    </row>
    <row r="348" spans="1:9" x14ac:dyDescent="0.3">
      <c r="A348">
        <v>-118.5</v>
      </c>
      <c r="B348">
        <v>34.25</v>
      </c>
      <c r="C348">
        <v>2025</v>
      </c>
      <c r="D348">
        <v>1</v>
      </c>
      <c r="E348">
        <v>15</v>
      </c>
      <c r="F348">
        <f>Sayfa1!C348-273.15</f>
        <v>16.046960449218773</v>
      </c>
      <c r="G348">
        <v>31.597564697265625</v>
      </c>
      <c r="H348">
        <f>SQRT(Sayfa1!D348^2+Sayfa1!E348^2)</f>
        <v>2.6840881121096225</v>
      </c>
      <c r="I348">
        <f>SUM(Sayfa1!G325:G348)</f>
        <v>0</v>
      </c>
    </row>
    <row r="349" spans="1:9" x14ac:dyDescent="0.3">
      <c r="A349">
        <v>-118.5</v>
      </c>
      <c r="B349">
        <v>34.25</v>
      </c>
      <c r="C349">
        <v>2025</v>
      </c>
      <c r="D349">
        <v>1</v>
      </c>
      <c r="E349">
        <v>15</v>
      </c>
      <c r="F349">
        <f>Sayfa1!C349-273.15</f>
        <v>15.817468261718773</v>
      </c>
      <c r="G349">
        <v>34.014350891113281</v>
      </c>
      <c r="H349">
        <f>SQRT(Sayfa1!D349^2+Sayfa1!E349^2)</f>
        <v>2.6500354668475796</v>
      </c>
      <c r="I349">
        <f>SUM(Sayfa1!G326:G349)</f>
        <v>0</v>
      </c>
    </row>
    <row r="350" spans="1:9" x14ac:dyDescent="0.3">
      <c r="A350">
        <v>-118.5</v>
      </c>
      <c r="B350">
        <v>34.25</v>
      </c>
      <c r="C350">
        <v>2025</v>
      </c>
      <c r="D350">
        <v>1</v>
      </c>
      <c r="E350">
        <v>15</v>
      </c>
      <c r="F350">
        <f>Sayfa1!C350-273.15</f>
        <v>15.831994628906273</v>
      </c>
      <c r="G350">
        <v>35.863872528076172</v>
      </c>
      <c r="H350">
        <f>SQRT(Sayfa1!D350^2+Sayfa1!E350^2)</f>
        <v>2.677722224146057</v>
      </c>
      <c r="I350">
        <f>SUM(Sayfa1!G327:G350)</f>
        <v>0</v>
      </c>
    </row>
    <row r="351" spans="1:9" x14ac:dyDescent="0.3">
      <c r="A351">
        <v>-118.5</v>
      </c>
      <c r="B351">
        <v>34.25</v>
      </c>
      <c r="C351">
        <v>2025</v>
      </c>
      <c r="D351">
        <v>1</v>
      </c>
      <c r="E351">
        <v>15</v>
      </c>
      <c r="F351">
        <f>Sayfa1!C351-273.15</f>
        <v>15.926232910156273</v>
      </c>
      <c r="G351">
        <v>37.326522827148438</v>
      </c>
      <c r="H351">
        <f>SQRT(Sayfa1!D351^2+Sayfa1!E351^2)</f>
        <v>2.739233573935532</v>
      </c>
      <c r="I351">
        <f>SUM(Sayfa1!G328:G351)</f>
        <v>0</v>
      </c>
    </row>
    <row r="352" spans="1:9" x14ac:dyDescent="0.3">
      <c r="A352">
        <v>-118.5</v>
      </c>
      <c r="B352">
        <v>34.25</v>
      </c>
      <c r="C352">
        <v>2025</v>
      </c>
      <c r="D352">
        <v>1</v>
      </c>
      <c r="E352">
        <v>15</v>
      </c>
      <c r="F352">
        <f>Sayfa1!C352-273.15</f>
        <v>16.044091796875023</v>
      </c>
      <c r="G352">
        <v>38.073993682861328</v>
      </c>
      <c r="H352">
        <f>SQRT(Sayfa1!D352^2+Sayfa1!E352^2)</f>
        <v>2.7793693592088626</v>
      </c>
      <c r="I352">
        <f>SUM(Sayfa1!G329:G352)</f>
        <v>0</v>
      </c>
    </row>
    <row r="353" spans="1:9" x14ac:dyDescent="0.3">
      <c r="A353">
        <v>-118.5</v>
      </c>
      <c r="B353">
        <v>34.25</v>
      </c>
      <c r="C353">
        <v>2025</v>
      </c>
      <c r="D353">
        <v>1</v>
      </c>
      <c r="E353">
        <v>15</v>
      </c>
      <c r="F353">
        <f>Sayfa1!C353-273.15</f>
        <v>15.966882324218773</v>
      </c>
      <c r="G353">
        <v>38.499351501464844</v>
      </c>
      <c r="H353">
        <f>SQRT(Sayfa1!D353^2+Sayfa1!E353^2)</f>
        <v>2.7853388155513175</v>
      </c>
      <c r="I353">
        <f>SUM(Sayfa1!G330:G353)</f>
        <v>0</v>
      </c>
    </row>
    <row r="354" spans="1:9" x14ac:dyDescent="0.3">
      <c r="A354">
        <v>-118.5</v>
      </c>
      <c r="B354">
        <v>34.25</v>
      </c>
      <c r="C354">
        <v>2025</v>
      </c>
      <c r="D354">
        <v>1</v>
      </c>
      <c r="E354">
        <v>15</v>
      </c>
      <c r="F354">
        <f>Sayfa1!C354-273.15</f>
        <v>15.836145019531273</v>
      </c>
      <c r="G354">
        <v>35.373569488525391</v>
      </c>
      <c r="H354">
        <f>SQRT(Sayfa1!D354^2+Sayfa1!E354^2)</f>
        <v>2.4515358099964626</v>
      </c>
      <c r="I354">
        <f>SUM(Sayfa1!G331:G354)</f>
        <v>0</v>
      </c>
    </row>
    <row r="355" spans="1:9" x14ac:dyDescent="0.3">
      <c r="A355">
        <v>-118.5</v>
      </c>
      <c r="B355">
        <v>34.25</v>
      </c>
      <c r="C355">
        <v>2025</v>
      </c>
      <c r="D355">
        <v>1</v>
      </c>
      <c r="E355">
        <v>15</v>
      </c>
      <c r="F355">
        <f>Sayfa1!C355-273.15</f>
        <v>15.663964843750023</v>
      </c>
      <c r="G355">
        <v>26.143129348754883</v>
      </c>
      <c r="H355">
        <f>SQRT(Sayfa1!D355^2+Sayfa1!E355^2)</f>
        <v>2.2043482287919831</v>
      </c>
      <c r="I355">
        <f>SUM(Sayfa1!G332:G355)</f>
        <v>0</v>
      </c>
    </row>
    <row r="356" spans="1:9" x14ac:dyDescent="0.3">
      <c r="A356">
        <v>-118.5</v>
      </c>
      <c r="B356">
        <v>34.25</v>
      </c>
      <c r="C356">
        <v>2025</v>
      </c>
      <c r="D356">
        <v>1</v>
      </c>
      <c r="E356">
        <v>15</v>
      </c>
      <c r="F356">
        <f>Sayfa1!C356-273.15</f>
        <v>16.076379394531273</v>
      </c>
      <c r="G356">
        <v>18.209175109863281</v>
      </c>
      <c r="H356">
        <f>SQRT(Sayfa1!D356^2+Sayfa1!E356^2)</f>
        <v>2.8581702023049997</v>
      </c>
      <c r="I356">
        <f>SUM(Sayfa1!G333:G356)</f>
        <v>0</v>
      </c>
    </row>
    <row r="357" spans="1:9" x14ac:dyDescent="0.3">
      <c r="A357">
        <v>-118.5</v>
      </c>
      <c r="B357">
        <v>34.25</v>
      </c>
      <c r="C357">
        <v>2025</v>
      </c>
      <c r="D357">
        <v>1</v>
      </c>
      <c r="E357">
        <v>15</v>
      </c>
      <c r="F357">
        <f>Sayfa1!C357-273.15</f>
        <v>17.818994140625023</v>
      </c>
      <c r="G357">
        <v>14.979701995849609</v>
      </c>
      <c r="H357">
        <f>SQRT(Sayfa1!D357^2+Sayfa1!E357^2)</f>
        <v>3.7647051014389885</v>
      </c>
      <c r="I357">
        <f>SUM(Sayfa1!G334:G357)</f>
        <v>0</v>
      </c>
    </row>
    <row r="358" spans="1:9" x14ac:dyDescent="0.3">
      <c r="A358">
        <v>-118.5</v>
      </c>
      <c r="B358">
        <v>34.25</v>
      </c>
      <c r="C358">
        <v>2025</v>
      </c>
      <c r="D358">
        <v>1</v>
      </c>
      <c r="E358">
        <v>15</v>
      </c>
      <c r="F358">
        <f>Sayfa1!C358-273.15</f>
        <v>18.862634277343773</v>
      </c>
      <c r="G358">
        <v>13.709858894348145</v>
      </c>
      <c r="H358">
        <f>SQRT(Sayfa1!D358^2+Sayfa1!E358^2)</f>
        <v>3.5080809334511085</v>
      </c>
      <c r="I358">
        <f>SUM(Sayfa1!G335:G358)</f>
        <v>0</v>
      </c>
    </row>
    <row r="359" spans="1:9" x14ac:dyDescent="0.3">
      <c r="A359">
        <v>-118.5</v>
      </c>
      <c r="B359">
        <v>34.25</v>
      </c>
      <c r="C359">
        <v>2025</v>
      </c>
      <c r="D359">
        <v>1</v>
      </c>
      <c r="E359">
        <v>15</v>
      </c>
      <c r="F359">
        <f>Sayfa1!C359-273.15</f>
        <v>19.552819824218773</v>
      </c>
      <c r="G359">
        <v>12.874118804931641</v>
      </c>
      <c r="H359">
        <f>SQRT(Sayfa1!D359^2+Sayfa1!E359^2)</f>
        <v>3.3372678123000643</v>
      </c>
      <c r="I359">
        <f>SUM(Sayfa1!G336:G359)</f>
        <v>0</v>
      </c>
    </row>
    <row r="360" spans="1:9" x14ac:dyDescent="0.3">
      <c r="A360">
        <v>-118.5</v>
      </c>
      <c r="B360">
        <v>34.25</v>
      </c>
      <c r="C360">
        <v>2025</v>
      </c>
      <c r="D360">
        <v>1</v>
      </c>
      <c r="E360">
        <v>15</v>
      </c>
      <c r="F360">
        <f>Sayfa1!C360-273.15</f>
        <v>19.997033691406273</v>
      </c>
      <c r="G360">
        <v>12.617380142211914</v>
      </c>
      <c r="H360">
        <f>SQRT(Sayfa1!D360^2+Sayfa1!E360^2)</f>
        <v>2.8486578858997977</v>
      </c>
      <c r="I360">
        <f>SUM(Sayfa1!G337:G360)</f>
        <v>0</v>
      </c>
    </row>
    <row r="361" spans="1:9" x14ac:dyDescent="0.3">
      <c r="A361">
        <v>-118.5</v>
      </c>
      <c r="B361">
        <v>34.25</v>
      </c>
      <c r="C361">
        <v>2025</v>
      </c>
      <c r="D361">
        <v>1</v>
      </c>
      <c r="E361">
        <v>15</v>
      </c>
      <c r="F361">
        <f>Sayfa1!C361-273.15</f>
        <v>20.154870605468773</v>
      </c>
      <c r="G361">
        <v>12.562554359436035</v>
      </c>
      <c r="H361">
        <f>SQRT(Sayfa1!D361^2+Sayfa1!E361^2)</f>
        <v>2.4756912391508128</v>
      </c>
      <c r="I361">
        <f>SUM(Sayfa1!G338:G361)</f>
        <v>0</v>
      </c>
    </row>
    <row r="362" spans="1:9" x14ac:dyDescent="0.3">
      <c r="A362">
        <v>-118.5</v>
      </c>
      <c r="B362">
        <v>34.25</v>
      </c>
      <c r="C362">
        <v>2025</v>
      </c>
      <c r="D362">
        <v>1</v>
      </c>
      <c r="E362">
        <v>16</v>
      </c>
      <c r="F362">
        <f>Sayfa1!C362-273.15</f>
        <v>19.964318847656273</v>
      </c>
      <c r="G362">
        <v>12.866216659545898</v>
      </c>
      <c r="H362">
        <f>SQRT(Sayfa1!D362^2+Sayfa1!E362^2)</f>
        <v>1.8008319872542471</v>
      </c>
      <c r="I362">
        <f>SUM(Sayfa1!G339:G362)</f>
        <v>0</v>
      </c>
    </row>
    <row r="363" spans="1:9" x14ac:dyDescent="0.3">
      <c r="A363">
        <v>-118.5</v>
      </c>
      <c r="B363">
        <v>34.25</v>
      </c>
      <c r="C363">
        <v>2025</v>
      </c>
      <c r="D363">
        <v>1</v>
      </c>
      <c r="E363">
        <v>16</v>
      </c>
      <c r="F363">
        <f>Sayfa1!C363-273.15</f>
        <v>19.135095214843773</v>
      </c>
      <c r="G363">
        <v>14.630051612854004</v>
      </c>
      <c r="H363">
        <f>SQRT(Sayfa1!D363^2+Sayfa1!E363^2)</f>
        <v>1.2946181643271226</v>
      </c>
      <c r="I363">
        <f>SUM(Sayfa1!G340:G363)</f>
        <v>0</v>
      </c>
    </row>
    <row r="364" spans="1:9" x14ac:dyDescent="0.3">
      <c r="A364">
        <v>-118.5</v>
      </c>
      <c r="B364">
        <v>34.25</v>
      </c>
      <c r="C364">
        <v>2025</v>
      </c>
      <c r="D364">
        <v>1</v>
      </c>
      <c r="E364">
        <v>16</v>
      </c>
      <c r="F364">
        <f>Sayfa1!C364-273.15</f>
        <v>18.120935058593773</v>
      </c>
      <c r="G364">
        <v>16.238578796386719</v>
      </c>
      <c r="H364">
        <f>SQRT(Sayfa1!D364^2+Sayfa1!E364^2)</f>
        <v>1.9662910591013385</v>
      </c>
      <c r="I364">
        <f>SUM(Sayfa1!G341:G364)</f>
        <v>0</v>
      </c>
    </row>
    <row r="365" spans="1:9" x14ac:dyDescent="0.3">
      <c r="A365">
        <v>-118.5</v>
      </c>
      <c r="B365">
        <v>34.25</v>
      </c>
      <c r="C365">
        <v>2025</v>
      </c>
      <c r="D365">
        <v>1</v>
      </c>
      <c r="E365">
        <v>16</v>
      </c>
      <c r="F365">
        <f>Sayfa1!C365-273.15</f>
        <v>17.349389648437523</v>
      </c>
      <c r="G365">
        <v>16.625259399414063</v>
      </c>
      <c r="H365">
        <f>SQRT(Sayfa1!D365^2+Sayfa1!E365^2)</f>
        <v>2.5419923210437108</v>
      </c>
      <c r="I365">
        <f>SUM(Sayfa1!G342:G365)</f>
        <v>0</v>
      </c>
    </row>
    <row r="366" spans="1:9" x14ac:dyDescent="0.3">
      <c r="A366">
        <v>-118.5</v>
      </c>
      <c r="B366">
        <v>34.25</v>
      </c>
      <c r="C366">
        <v>2025</v>
      </c>
      <c r="D366">
        <v>1</v>
      </c>
      <c r="E366">
        <v>16</v>
      </c>
      <c r="F366">
        <f>Sayfa1!C366-273.15</f>
        <v>16.906396484375023</v>
      </c>
      <c r="G366">
        <v>16.996307373046875</v>
      </c>
      <c r="H366">
        <f>SQRT(Sayfa1!D366^2+Sayfa1!E366^2)</f>
        <v>2.6903628308111993</v>
      </c>
      <c r="I366">
        <f>SUM(Sayfa1!G343:G366)</f>
        <v>0</v>
      </c>
    </row>
    <row r="367" spans="1:9" x14ac:dyDescent="0.3">
      <c r="A367">
        <v>-118.5</v>
      </c>
      <c r="B367">
        <v>34.25</v>
      </c>
      <c r="C367">
        <v>2025</v>
      </c>
      <c r="D367">
        <v>1</v>
      </c>
      <c r="E367">
        <v>16</v>
      </c>
      <c r="F367">
        <f>Sayfa1!C367-273.15</f>
        <v>16.619958496093773</v>
      </c>
      <c r="G367">
        <v>19.340497970581055</v>
      </c>
      <c r="H367">
        <f>SQRT(Sayfa1!D367^2+Sayfa1!E367^2)</f>
        <v>2.5709687710167723</v>
      </c>
      <c r="I367">
        <f>SUM(Sayfa1!G344:G367)</f>
        <v>0</v>
      </c>
    </row>
    <row r="368" spans="1:9" x14ac:dyDescent="0.3">
      <c r="A368">
        <v>-118.5</v>
      </c>
      <c r="B368">
        <v>34.25</v>
      </c>
      <c r="C368">
        <v>2025</v>
      </c>
      <c r="D368">
        <v>1</v>
      </c>
      <c r="E368">
        <v>16</v>
      </c>
      <c r="F368">
        <f>Sayfa1!C368-273.15</f>
        <v>16.502893066406273</v>
      </c>
      <c r="G368">
        <v>22.538139343261719</v>
      </c>
      <c r="H368">
        <f>SQRT(Sayfa1!D368^2+Sayfa1!E368^2)</f>
        <v>2.4604780540756273</v>
      </c>
      <c r="I368">
        <f>SUM(Sayfa1!G345:G368)</f>
        <v>0</v>
      </c>
    </row>
    <row r="369" spans="1:9" x14ac:dyDescent="0.3">
      <c r="A369">
        <v>-118.5</v>
      </c>
      <c r="B369">
        <v>34.25</v>
      </c>
      <c r="C369">
        <v>2025</v>
      </c>
      <c r="D369">
        <v>1</v>
      </c>
      <c r="E369">
        <v>16</v>
      </c>
      <c r="F369">
        <f>Sayfa1!C369-273.15</f>
        <v>16.500573730468773</v>
      </c>
      <c r="G369">
        <v>25.883768081665039</v>
      </c>
      <c r="H369">
        <f>SQRT(Sayfa1!D369^2+Sayfa1!E369^2)</f>
        <v>2.4167342802161031</v>
      </c>
      <c r="I369">
        <f>SUM(Sayfa1!G346:G369)</f>
        <v>0</v>
      </c>
    </row>
    <row r="370" spans="1:9" x14ac:dyDescent="0.3">
      <c r="A370">
        <v>-118.5</v>
      </c>
      <c r="B370">
        <v>34.25</v>
      </c>
      <c r="C370">
        <v>2025</v>
      </c>
      <c r="D370">
        <v>1</v>
      </c>
      <c r="E370">
        <v>16</v>
      </c>
      <c r="F370">
        <f>Sayfa1!C370-273.15</f>
        <v>16.418359375000023</v>
      </c>
      <c r="G370">
        <v>29.28497314453125</v>
      </c>
      <c r="H370">
        <f>SQRT(Sayfa1!D370^2+Sayfa1!E370^2)</f>
        <v>2.4698159687444727</v>
      </c>
      <c r="I370">
        <f>SUM(Sayfa1!G347:G370)</f>
        <v>0</v>
      </c>
    </row>
    <row r="371" spans="1:9" x14ac:dyDescent="0.3">
      <c r="A371">
        <v>-118.5</v>
      </c>
      <c r="B371">
        <v>34.25</v>
      </c>
      <c r="C371">
        <v>2025</v>
      </c>
      <c r="D371">
        <v>1</v>
      </c>
      <c r="E371">
        <v>16</v>
      </c>
      <c r="F371">
        <f>Sayfa1!C371-273.15</f>
        <v>16.270227050781273</v>
      </c>
      <c r="G371">
        <v>32.485443115234375</v>
      </c>
      <c r="H371">
        <f>SQRT(Sayfa1!D371^2+Sayfa1!E371^2)</f>
        <v>2.5586236378693115</v>
      </c>
      <c r="I371">
        <f>SUM(Sayfa1!G348:G371)</f>
        <v>0</v>
      </c>
    </row>
    <row r="372" spans="1:9" x14ac:dyDescent="0.3">
      <c r="A372">
        <v>-118.5</v>
      </c>
      <c r="B372">
        <v>34.25</v>
      </c>
      <c r="C372">
        <v>2025</v>
      </c>
      <c r="D372">
        <v>1</v>
      </c>
      <c r="E372">
        <v>16</v>
      </c>
      <c r="F372">
        <f>Sayfa1!C372-273.15</f>
        <v>15.932763671875023</v>
      </c>
      <c r="G372">
        <v>34.752582550048828</v>
      </c>
      <c r="H372">
        <f>SQRT(Sayfa1!D372^2+Sayfa1!E372^2)</f>
        <v>2.565467390666254</v>
      </c>
      <c r="I372">
        <f>SUM(Sayfa1!G349:G372)</f>
        <v>0</v>
      </c>
    </row>
    <row r="373" spans="1:9" x14ac:dyDescent="0.3">
      <c r="A373">
        <v>-118.5</v>
      </c>
      <c r="B373">
        <v>34.25</v>
      </c>
      <c r="C373">
        <v>2025</v>
      </c>
      <c r="D373">
        <v>1</v>
      </c>
      <c r="E373">
        <v>16</v>
      </c>
      <c r="F373">
        <f>Sayfa1!C373-273.15</f>
        <v>15.819848632812523</v>
      </c>
      <c r="G373">
        <v>36.770542144775391</v>
      </c>
      <c r="H373">
        <f>SQRT(Sayfa1!D373^2+Sayfa1!E373^2)</f>
        <v>2.634157651103521</v>
      </c>
      <c r="I373">
        <f>SUM(Sayfa1!G350:G373)</f>
        <v>0</v>
      </c>
    </row>
    <row r="374" spans="1:9" x14ac:dyDescent="0.3">
      <c r="A374">
        <v>-118.5</v>
      </c>
      <c r="B374">
        <v>34.25</v>
      </c>
      <c r="C374">
        <v>2025</v>
      </c>
      <c r="D374">
        <v>1</v>
      </c>
      <c r="E374">
        <v>16</v>
      </c>
      <c r="F374">
        <f>Sayfa1!C374-273.15</f>
        <v>15.724938964843773</v>
      </c>
      <c r="G374">
        <v>38.879631042480469</v>
      </c>
      <c r="H374">
        <f>SQRT(Sayfa1!D374^2+Sayfa1!E374^2)</f>
        <v>2.67251097993947</v>
      </c>
      <c r="I374">
        <f>SUM(Sayfa1!G351:G374)</f>
        <v>0</v>
      </c>
    </row>
    <row r="375" spans="1:9" x14ac:dyDescent="0.3">
      <c r="A375">
        <v>-118.5</v>
      </c>
      <c r="B375">
        <v>34.25</v>
      </c>
      <c r="C375">
        <v>2025</v>
      </c>
      <c r="D375">
        <v>1</v>
      </c>
      <c r="E375">
        <v>16</v>
      </c>
      <c r="F375">
        <f>Sayfa1!C375-273.15</f>
        <v>15.672265625000023</v>
      </c>
      <c r="G375">
        <v>40.886009216308594</v>
      </c>
      <c r="H375">
        <f>SQRT(Sayfa1!D375^2+Sayfa1!E375^2)</f>
        <v>2.7404117350098689</v>
      </c>
      <c r="I375">
        <f>SUM(Sayfa1!G352:G375)</f>
        <v>0</v>
      </c>
    </row>
    <row r="376" spans="1:9" x14ac:dyDescent="0.3">
      <c r="A376">
        <v>-118.5</v>
      </c>
      <c r="B376">
        <v>34.25</v>
      </c>
      <c r="C376">
        <v>2025</v>
      </c>
      <c r="D376">
        <v>1</v>
      </c>
      <c r="E376">
        <v>16</v>
      </c>
      <c r="F376">
        <f>Sayfa1!C376-273.15</f>
        <v>15.644067382812523</v>
      </c>
      <c r="G376">
        <v>42.871898651123047</v>
      </c>
      <c r="H376">
        <f>SQRT(Sayfa1!D376^2+Sayfa1!E376^2)</f>
        <v>2.7843531995141566</v>
      </c>
      <c r="I376">
        <f>SUM(Sayfa1!G353:G376)</f>
        <v>0</v>
      </c>
    </row>
    <row r="377" spans="1:9" x14ac:dyDescent="0.3">
      <c r="A377">
        <v>-118.5</v>
      </c>
      <c r="B377">
        <v>34.25</v>
      </c>
      <c r="C377">
        <v>2025</v>
      </c>
      <c r="D377">
        <v>1</v>
      </c>
      <c r="E377">
        <v>16</v>
      </c>
      <c r="F377">
        <f>Sayfa1!C377-273.15</f>
        <v>15.597619628906273</v>
      </c>
      <c r="G377">
        <v>44.607395172119141</v>
      </c>
      <c r="H377">
        <f>SQRT(Sayfa1!D377^2+Sayfa1!E377^2)</f>
        <v>2.821923043485894</v>
      </c>
      <c r="I377">
        <f>SUM(Sayfa1!G354:G377)</f>
        <v>0</v>
      </c>
    </row>
    <row r="378" spans="1:9" x14ac:dyDescent="0.3">
      <c r="A378">
        <v>-118.5</v>
      </c>
      <c r="B378">
        <v>34.25</v>
      </c>
      <c r="C378">
        <v>2025</v>
      </c>
      <c r="D378">
        <v>1</v>
      </c>
      <c r="E378">
        <v>16</v>
      </c>
      <c r="F378">
        <f>Sayfa1!C378-273.15</f>
        <v>15.536523437500023</v>
      </c>
      <c r="G378">
        <v>42.07757568359375</v>
      </c>
      <c r="H378">
        <f>SQRT(Sayfa1!D378^2+Sayfa1!E378^2)</f>
        <v>2.4832120826215185</v>
      </c>
      <c r="I378">
        <f>SUM(Sayfa1!G355:G378)</f>
        <v>0</v>
      </c>
    </row>
    <row r="379" spans="1:9" x14ac:dyDescent="0.3">
      <c r="A379">
        <v>-118.5</v>
      </c>
      <c r="B379">
        <v>34.25</v>
      </c>
      <c r="C379">
        <v>2025</v>
      </c>
      <c r="D379">
        <v>1</v>
      </c>
      <c r="E379">
        <v>16</v>
      </c>
      <c r="F379">
        <f>Sayfa1!C379-273.15</f>
        <v>15.543786621093773</v>
      </c>
      <c r="G379">
        <v>32.899711608886719</v>
      </c>
      <c r="H379">
        <f>SQRT(Sayfa1!D379^2+Sayfa1!E379^2)</f>
        <v>1.8736529342465011</v>
      </c>
      <c r="I379">
        <f>SUM(Sayfa1!G356:G379)</f>
        <v>0</v>
      </c>
    </row>
    <row r="380" spans="1:9" x14ac:dyDescent="0.3">
      <c r="A380">
        <v>-118.5</v>
      </c>
      <c r="B380">
        <v>34.25</v>
      </c>
      <c r="C380">
        <v>2025</v>
      </c>
      <c r="D380">
        <v>1</v>
      </c>
      <c r="E380">
        <v>16</v>
      </c>
      <c r="F380">
        <f>Sayfa1!C380-273.15</f>
        <v>15.711114501953148</v>
      </c>
      <c r="G380">
        <v>20.181907653808594</v>
      </c>
      <c r="H380">
        <f>SQRT(Sayfa1!D380^2+Sayfa1!E380^2)</f>
        <v>1.5224889377382864</v>
      </c>
      <c r="I380">
        <f>SUM(Sayfa1!G357:G380)</f>
        <v>0</v>
      </c>
    </row>
    <row r="381" spans="1:9" x14ac:dyDescent="0.3">
      <c r="A381">
        <v>-118.5</v>
      </c>
      <c r="B381">
        <v>34.25</v>
      </c>
      <c r="C381">
        <v>2025</v>
      </c>
      <c r="D381">
        <v>1</v>
      </c>
      <c r="E381">
        <v>16</v>
      </c>
      <c r="F381">
        <f>Sayfa1!C381-273.15</f>
        <v>17.444482421875023</v>
      </c>
      <c r="G381">
        <v>16.287870407104492</v>
      </c>
      <c r="H381">
        <f>SQRT(Sayfa1!D381^2+Sayfa1!E381^2)</f>
        <v>1.1446439588679989</v>
      </c>
      <c r="I381">
        <f>SUM(Sayfa1!G358:G381)</f>
        <v>0</v>
      </c>
    </row>
    <row r="382" spans="1:9" x14ac:dyDescent="0.3">
      <c r="A382">
        <v>-118.5</v>
      </c>
      <c r="B382">
        <v>34.25</v>
      </c>
      <c r="C382">
        <v>2025</v>
      </c>
      <c r="D382">
        <v>1</v>
      </c>
      <c r="E382">
        <v>16</v>
      </c>
      <c r="F382">
        <f>Sayfa1!C382-273.15</f>
        <v>18.517297363281273</v>
      </c>
      <c r="G382">
        <v>14.153865814208984</v>
      </c>
      <c r="H382">
        <f>SQRT(Sayfa1!D382^2+Sayfa1!E382^2)</f>
        <v>0.50141267820884505</v>
      </c>
      <c r="I382">
        <f>SUM(Sayfa1!G359:G382)</f>
        <v>0</v>
      </c>
    </row>
    <row r="383" spans="1:9" x14ac:dyDescent="0.3">
      <c r="A383">
        <v>-118.5</v>
      </c>
      <c r="B383">
        <v>34.25</v>
      </c>
      <c r="C383">
        <v>2025</v>
      </c>
      <c r="D383">
        <v>1</v>
      </c>
      <c r="E383">
        <v>16</v>
      </c>
      <c r="F383">
        <f>Sayfa1!C383-273.15</f>
        <v>19.105004882812523</v>
      </c>
      <c r="G383">
        <v>12.56114387512207</v>
      </c>
      <c r="H383">
        <f>SQRT(Sayfa1!D383^2+Sayfa1!E383^2)</f>
        <v>0.82478693910369161</v>
      </c>
      <c r="I383">
        <f>SUM(Sayfa1!G360:G383)</f>
        <v>0</v>
      </c>
    </row>
    <row r="384" spans="1:9" x14ac:dyDescent="0.3">
      <c r="A384">
        <v>-118.5</v>
      </c>
      <c r="B384">
        <v>34.25</v>
      </c>
      <c r="C384">
        <v>2025</v>
      </c>
      <c r="D384">
        <v>1</v>
      </c>
      <c r="E384">
        <v>16</v>
      </c>
      <c r="F384">
        <f>Sayfa1!C384-273.15</f>
        <v>18.603173828125023</v>
      </c>
      <c r="G384">
        <v>14.160223007202148</v>
      </c>
      <c r="H384">
        <f>SQRT(Sayfa1!D384^2+Sayfa1!E384^2)</f>
        <v>2.4664167098396601</v>
      </c>
      <c r="I384">
        <f>SUM(Sayfa1!G361:G384)</f>
        <v>0</v>
      </c>
    </row>
    <row r="385" spans="1:9" x14ac:dyDescent="0.3">
      <c r="A385">
        <v>-118.5</v>
      </c>
      <c r="B385">
        <v>34.25</v>
      </c>
      <c r="C385">
        <v>2025</v>
      </c>
      <c r="D385">
        <v>1</v>
      </c>
      <c r="E385">
        <v>16</v>
      </c>
      <c r="F385">
        <f>Sayfa1!C385-273.15</f>
        <v>18.065576171875023</v>
      </c>
      <c r="G385">
        <v>18.414562225341797</v>
      </c>
      <c r="H385">
        <f>SQRT(Sayfa1!D385^2+Sayfa1!E385^2)</f>
        <v>2.9015843882852774</v>
      </c>
      <c r="I385">
        <f>SUM(Sayfa1!G362:G385)</f>
        <v>0</v>
      </c>
    </row>
    <row r="386" spans="1:9" x14ac:dyDescent="0.3">
      <c r="A386">
        <v>-118.5</v>
      </c>
      <c r="B386">
        <v>34.25</v>
      </c>
      <c r="C386">
        <v>2025</v>
      </c>
      <c r="D386">
        <v>1</v>
      </c>
      <c r="E386">
        <v>17</v>
      </c>
      <c r="F386">
        <f>Sayfa1!C386-273.15</f>
        <v>17.171899414062523</v>
      </c>
      <c r="G386">
        <v>24.90118408203125</v>
      </c>
      <c r="H386">
        <f>SQRT(Sayfa1!D386^2+Sayfa1!E386^2)</f>
        <v>2.8192480762831762</v>
      </c>
      <c r="I386">
        <f>SUM(Sayfa1!G363:G386)</f>
        <v>0</v>
      </c>
    </row>
    <row r="387" spans="1:9" x14ac:dyDescent="0.3">
      <c r="A387">
        <v>-118.5</v>
      </c>
      <c r="B387">
        <v>34.25</v>
      </c>
      <c r="C387">
        <v>2025</v>
      </c>
      <c r="D387">
        <v>1</v>
      </c>
      <c r="E387">
        <v>17</v>
      </c>
      <c r="F387">
        <f>Sayfa1!C387-273.15</f>
        <v>15.938623046875023</v>
      </c>
      <c r="G387">
        <v>33.722930908203125</v>
      </c>
      <c r="H387">
        <f>SQRT(Sayfa1!D387^2+Sayfa1!E387^2)</f>
        <v>1.8198888157965354</v>
      </c>
      <c r="I387">
        <f>SUM(Sayfa1!G364:G387)</f>
        <v>0</v>
      </c>
    </row>
    <row r="388" spans="1:9" x14ac:dyDescent="0.3">
      <c r="A388">
        <v>-118.5</v>
      </c>
      <c r="B388">
        <v>34.25</v>
      </c>
      <c r="C388">
        <v>2025</v>
      </c>
      <c r="D388">
        <v>1</v>
      </c>
      <c r="E388">
        <v>17</v>
      </c>
      <c r="F388">
        <f>Sayfa1!C388-273.15</f>
        <v>14.926354980468773</v>
      </c>
      <c r="G388">
        <v>42.377838134765625</v>
      </c>
      <c r="H388">
        <f>SQRT(Sayfa1!D388^2+Sayfa1!E388^2)</f>
        <v>1.3163928526824857</v>
      </c>
      <c r="I388">
        <f>SUM(Sayfa1!G365:G388)</f>
        <v>0</v>
      </c>
    </row>
    <row r="389" spans="1:9" x14ac:dyDescent="0.3">
      <c r="A389">
        <v>-118.5</v>
      </c>
      <c r="B389">
        <v>34.25</v>
      </c>
      <c r="C389">
        <v>2025</v>
      </c>
      <c r="D389">
        <v>1</v>
      </c>
      <c r="E389">
        <v>17</v>
      </c>
      <c r="F389">
        <f>Sayfa1!C389-273.15</f>
        <v>14.188073730468773</v>
      </c>
      <c r="G389">
        <v>49.397781372070313</v>
      </c>
      <c r="H389">
        <f>SQRT(Sayfa1!D389^2+Sayfa1!E389^2)</f>
        <v>0.99634837012094979</v>
      </c>
      <c r="I389">
        <f>SUM(Sayfa1!G366:G389)</f>
        <v>0</v>
      </c>
    </row>
    <row r="390" spans="1:9" x14ac:dyDescent="0.3">
      <c r="A390">
        <v>-118.5</v>
      </c>
      <c r="B390">
        <v>34.25</v>
      </c>
      <c r="C390">
        <v>2025</v>
      </c>
      <c r="D390">
        <v>1</v>
      </c>
      <c r="E390">
        <v>17</v>
      </c>
      <c r="F390">
        <f>Sayfa1!C390-273.15</f>
        <v>13.430932617187523</v>
      </c>
      <c r="G390">
        <v>55.455230712890625</v>
      </c>
      <c r="H390">
        <f>SQRT(Sayfa1!D390^2+Sayfa1!E390^2)</f>
        <v>1.076584188436789</v>
      </c>
      <c r="I390">
        <f>SUM(Sayfa1!G367:G390)</f>
        <v>0</v>
      </c>
    </row>
    <row r="391" spans="1:9" x14ac:dyDescent="0.3">
      <c r="A391">
        <v>-118.5</v>
      </c>
      <c r="B391">
        <v>34.25</v>
      </c>
      <c r="C391">
        <v>2025</v>
      </c>
      <c r="D391">
        <v>1</v>
      </c>
      <c r="E391">
        <v>17</v>
      </c>
      <c r="F391">
        <f>Sayfa1!C391-273.15</f>
        <v>12.691369628906273</v>
      </c>
      <c r="G391">
        <v>60.571258544921875</v>
      </c>
      <c r="H391">
        <f>SQRT(Sayfa1!D391^2+Sayfa1!E391^2)</f>
        <v>1.3623350103312402</v>
      </c>
      <c r="I391">
        <f>SUM(Sayfa1!G368:G391)</f>
        <v>0</v>
      </c>
    </row>
    <row r="392" spans="1:9" x14ac:dyDescent="0.3">
      <c r="A392">
        <v>-118.5</v>
      </c>
      <c r="B392">
        <v>34.25</v>
      </c>
      <c r="C392">
        <v>2025</v>
      </c>
      <c r="D392">
        <v>1</v>
      </c>
      <c r="E392">
        <v>17</v>
      </c>
      <c r="F392">
        <f>Sayfa1!C392-273.15</f>
        <v>12.029260253906273</v>
      </c>
      <c r="G392">
        <v>65.407241821289063</v>
      </c>
      <c r="H392">
        <f>SQRT(Sayfa1!D392^2+Sayfa1!E392^2)</f>
        <v>1.4041612451690078</v>
      </c>
      <c r="I392">
        <f>SUM(Sayfa1!G369:G392)</f>
        <v>0</v>
      </c>
    </row>
    <row r="393" spans="1:9" x14ac:dyDescent="0.3">
      <c r="A393">
        <v>-118.5</v>
      </c>
      <c r="B393">
        <v>34.25</v>
      </c>
      <c r="C393">
        <v>2025</v>
      </c>
      <c r="D393">
        <v>1</v>
      </c>
      <c r="E393">
        <v>17</v>
      </c>
      <c r="F393">
        <f>Sayfa1!C393-273.15</f>
        <v>11.474633789062523</v>
      </c>
      <c r="G393">
        <v>69.8790283203125</v>
      </c>
      <c r="H393">
        <f>SQRT(Sayfa1!D393^2+Sayfa1!E393^2)</f>
        <v>1.2920151948682401</v>
      </c>
      <c r="I393">
        <f>SUM(Sayfa1!G370:G393)</f>
        <v>0</v>
      </c>
    </row>
    <row r="394" spans="1:9" x14ac:dyDescent="0.3">
      <c r="A394">
        <v>-118.5</v>
      </c>
      <c r="B394">
        <v>34.25</v>
      </c>
      <c r="C394">
        <v>2025</v>
      </c>
      <c r="D394">
        <v>1</v>
      </c>
      <c r="E394">
        <v>17</v>
      </c>
      <c r="F394">
        <f>Sayfa1!C394-273.15</f>
        <v>11.000207519531273</v>
      </c>
      <c r="G394">
        <v>73.432998657226563</v>
      </c>
      <c r="H394">
        <f>SQRT(Sayfa1!D394^2+Sayfa1!E394^2)</f>
        <v>1.1472560557621279</v>
      </c>
      <c r="I394">
        <f>SUM(Sayfa1!G371:G394)</f>
        <v>0</v>
      </c>
    </row>
    <row r="395" spans="1:9" x14ac:dyDescent="0.3">
      <c r="A395">
        <v>-118.5</v>
      </c>
      <c r="B395">
        <v>34.25</v>
      </c>
      <c r="C395">
        <v>2025</v>
      </c>
      <c r="D395">
        <v>1</v>
      </c>
      <c r="E395">
        <v>17</v>
      </c>
      <c r="F395">
        <f>Sayfa1!C395-273.15</f>
        <v>10.599877929687523</v>
      </c>
      <c r="G395">
        <v>76.662872314453125</v>
      </c>
      <c r="H395">
        <f>SQRT(Sayfa1!D395^2+Sayfa1!E395^2)</f>
        <v>1.1751030209589339</v>
      </c>
      <c r="I395">
        <f>SUM(Sayfa1!G372:G395)</f>
        <v>0</v>
      </c>
    </row>
    <row r="396" spans="1:9" x14ac:dyDescent="0.3">
      <c r="A396">
        <v>-118.5</v>
      </c>
      <c r="B396">
        <v>34.25</v>
      </c>
      <c r="C396">
        <v>2025</v>
      </c>
      <c r="D396">
        <v>1</v>
      </c>
      <c r="E396">
        <v>17</v>
      </c>
      <c r="F396">
        <f>Sayfa1!C396-273.15</f>
        <v>10.253259277343773</v>
      </c>
      <c r="G396">
        <v>81.531005859375</v>
      </c>
      <c r="H396">
        <f>SQRT(Sayfa1!D396^2+Sayfa1!E396^2)</f>
        <v>1.1028913632155861</v>
      </c>
      <c r="I396">
        <f>SUM(Sayfa1!G373:G396)</f>
        <v>0</v>
      </c>
    </row>
    <row r="397" spans="1:9" x14ac:dyDescent="0.3">
      <c r="A397">
        <v>-118.5</v>
      </c>
      <c r="B397">
        <v>34.25</v>
      </c>
      <c r="C397">
        <v>2025</v>
      </c>
      <c r="D397">
        <v>1</v>
      </c>
      <c r="E397">
        <v>17</v>
      </c>
      <c r="F397">
        <f>Sayfa1!C397-273.15</f>
        <v>10.058251953125023</v>
      </c>
      <c r="G397">
        <v>82.720703125</v>
      </c>
      <c r="H397">
        <f>SQRT(Sayfa1!D397^2+Sayfa1!E397^2)</f>
        <v>1.0907023135740588</v>
      </c>
      <c r="I397">
        <f>SUM(Sayfa1!G374:G397)</f>
        <v>0</v>
      </c>
    </row>
    <row r="398" spans="1:9" x14ac:dyDescent="0.3">
      <c r="A398">
        <v>-118.5</v>
      </c>
      <c r="B398">
        <v>34.25</v>
      </c>
      <c r="C398">
        <v>2025</v>
      </c>
      <c r="D398">
        <v>1</v>
      </c>
      <c r="E398">
        <v>17</v>
      </c>
      <c r="F398">
        <f>Sayfa1!C398-273.15</f>
        <v>9.8715454101562727</v>
      </c>
      <c r="G398">
        <v>82.94207763671875</v>
      </c>
      <c r="H398">
        <f>SQRT(Sayfa1!D398^2+Sayfa1!E398^2)</f>
        <v>0.89295497269986535</v>
      </c>
      <c r="I398">
        <f>SUM(Sayfa1!G375:G398)</f>
        <v>0</v>
      </c>
    </row>
    <row r="399" spans="1:9" x14ac:dyDescent="0.3">
      <c r="A399">
        <v>-118.5</v>
      </c>
      <c r="B399">
        <v>34.25</v>
      </c>
      <c r="C399">
        <v>2025</v>
      </c>
      <c r="D399">
        <v>1</v>
      </c>
      <c r="E399">
        <v>17</v>
      </c>
      <c r="F399">
        <f>Sayfa1!C399-273.15</f>
        <v>9.5751586914062727</v>
      </c>
      <c r="G399">
        <v>85.194015502929688</v>
      </c>
      <c r="H399">
        <f>SQRT(Sayfa1!D399^2+Sayfa1!E399^2)</f>
        <v>1.1365594606857761</v>
      </c>
      <c r="I399">
        <f>SUM(Sayfa1!G376:G399)</f>
        <v>0</v>
      </c>
    </row>
    <row r="400" spans="1:9" x14ac:dyDescent="0.3">
      <c r="A400">
        <v>-118.5</v>
      </c>
      <c r="B400">
        <v>34.25</v>
      </c>
      <c r="C400">
        <v>2025</v>
      </c>
      <c r="D400">
        <v>1</v>
      </c>
      <c r="E400">
        <v>17</v>
      </c>
      <c r="F400">
        <f>Sayfa1!C400-273.15</f>
        <v>9.4112792968750227</v>
      </c>
      <c r="G400">
        <v>86.85675048828125</v>
      </c>
      <c r="H400">
        <f>SQRT(Sayfa1!D400^2+Sayfa1!E400^2)</f>
        <v>1.1693950097203469</v>
      </c>
      <c r="I400">
        <f>SUM(Sayfa1!G377:G400)</f>
        <v>0</v>
      </c>
    </row>
    <row r="401" spans="1:9" x14ac:dyDescent="0.3">
      <c r="A401">
        <v>-118.5</v>
      </c>
      <c r="B401">
        <v>34.25</v>
      </c>
      <c r="C401">
        <v>2025</v>
      </c>
      <c r="D401">
        <v>1</v>
      </c>
      <c r="E401">
        <v>17</v>
      </c>
      <c r="F401">
        <f>Sayfa1!C401-273.15</f>
        <v>9.4258666992187727</v>
      </c>
      <c r="G401">
        <v>86.55322265625</v>
      </c>
      <c r="H401">
        <f>SQRT(Sayfa1!D401^2+Sayfa1!E401^2)</f>
        <v>1.0756876249969414</v>
      </c>
      <c r="I401">
        <f>SUM(Sayfa1!G378:G401)</f>
        <v>0</v>
      </c>
    </row>
    <row r="402" spans="1:9" x14ac:dyDescent="0.3">
      <c r="A402">
        <v>-118.5</v>
      </c>
      <c r="B402">
        <v>34.25</v>
      </c>
      <c r="C402">
        <v>2025</v>
      </c>
      <c r="D402">
        <v>1</v>
      </c>
      <c r="E402">
        <v>17</v>
      </c>
      <c r="F402">
        <f>Sayfa1!C402-273.15</f>
        <v>9.4156738281250227</v>
      </c>
      <c r="G402">
        <v>83.02978515625</v>
      </c>
      <c r="H402">
        <f>SQRT(Sayfa1!D402^2+Sayfa1!E402^2)</f>
        <v>0.68648242692290029</v>
      </c>
      <c r="I402">
        <f>SUM(Sayfa1!G379:G402)</f>
        <v>4.76837158203125E-4</v>
      </c>
    </row>
    <row r="403" spans="1:9" x14ac:dyDescent="0.3">
      <c r="A403">
        <v>-118.5</v>
      </c>
      <c r="B403">
        <v>34.25</v>
      </c>
      <c r="C403">
        <v>2025</v>
      </c>
      <c r="D403">
        <v>1</v>
      </c>
      <c r="E403">
        <v>17</v>
      </c>
      <c r="F403">
        <f>Sayfa1!C403-273.15</f>
        <v>9.3609252929687727</v>
      </c>
      <c r="G403">
        <v>73.967315673828125</v>
      </c>
      <c r="H403">
        <f>SQRT(Sayfa1!D403^2+Sayfa1!E403^2)</f>
        <v>1.3257862755576797</v>
      </c>
      <c r="I403">
        <f>SUM(Sayfa1!G380:G403)</f>
        <v>3.337860107421875E-3</v>
      </c>
    </row>
    <row r="404" spans="1:9" x14ac:dyDescent="0.3">
      <c r="A404">
        <v>-118.5</v>
      </c>
      <c r="B404">
        <v>34.25</v>
      </c>
      <c r="C404">
        <v>2025</v>
      </c>
      <c r="D404">
        <v>1</v>
      </c>
      <c r="E404">
        <v>17</v>
      </c>
      <c r="F404">
        <f>Sayfa1!C404-273.15</f>
        <v>10.640954589843773</v>
      </c>
      <c r="G404">
        <v>66.733901977539063</v>
      </c>
      <c r="H404">
        <f>SQRT(Sayfa1!D404^2+Sayfa1!E404^2)</f>
        <v>1.4297688164183457</v>
      </c>
      <c r="I404">
        <f>SUM(Sayfa1!G381:G404)</f>
        <v>3.814697265625E-3</v>
      </c>
    </row>
    <row r="405" spans="1:9" x14ac:dyDescent="0.3">
      <c r="A405">
        <v>-118.5</v>
      </c>
      <c r="B405">
        <v>34.25</v>
      </c>
      <c r="C405">
        <v>2025</v>
      </c>
      <c r="D405">
        <v>1</v>
      </c>
      <c r="E405">
        <v>17</v>
      </c>
      <c r="F405">
        <f>Sayfa1!C405-273.15</f>
        <v>11.753869628906273</v>
      </c>
      <c r="G405">
        <v>60.866348266601563</v>
      </c>
      <c r="H405">
        <f>SQRT(Sayfa1!D405^2+Sayfa1!E405^2)</f>
        <v>1.7778853698132233</v>
      </c>
      <c r="I405">
        <f>SUM(Sayfa1!G382:G405)</f>
        <v>3.814697265625E-3</v>
      </c>
    </row>
    <row r="406" spans="1:9" x14ac:dyDescent="0.3">
      <c r="A406">
        <v>-118.5</v>
      </c>
      <c r="B406">
        <v>34.25</v>
      </c>
      <c r="C406">
        <v>2025</v>
      </c>
      <c r="D406">
        <v>1</v>
      </c>
      <c r="E406">
        <v>17</v>
      </c>
      <c r="F406">
        <f>Sayfa1!C406-273.15</f>
        <v>12.556665039062523</v>
      </c>
      <c r="G406">
        <v>57.255950927734375</v>
      </c>
      <c r="H406">
        <f>SQRT(Sayfa1!D406^2+Sayfa1!E406^2)</f>
        <v>2.248872603289592</v>
      </c>
      <c r="I406">
        <f>SUM(Sayfa1!G383:G406)</f>
        <v>3.814697265625E-3</v>
      </c>
    </row>
    <row r="407" spans="1:9" x14ac:dyDescent="0.3">
      <c r="A407">
        <v>-118.5</v>
      </c>
      <c r="B407">
        <v>34.25</v>
      </c>
      <c r="C407">
        <v>2025</v>
      </c>
      <c r="D407">
        <v>1</v>
      </c>
      <c r="E407">
        <v>17</v>
      </c>
      <c r="F407">
        <f>Sayfa1!C407-273.15</f>
        <v>13.280419921875023</v>
      </c>
      <c r="G407">
        <v>55.667236328125</v>
      </c>
      <c r="H407">
        <f>SQRT(Sayfa1!D407^2+Sayfa1!E407^2)</f>
        <v>2.8213772309784702</v>
      </c>
      <c r="I407">
        <f>SUM(Sayfa1!G384:G407)</f>
        <v>3.814697265625E-3</v>
      </c>
    </row>
    <row r="408" spans="1:9" x14ac:dyDescent="0.3">
      <c r="A408">
        <v>-118.5</v>
      </c>
      <c r="B408">
        <v>34.25</v>
      </c>
      <c r="C408">
        <v>2025</v>
      </c>
      <c r="D408">
        <v>1</v>
      </c>
      <c r="E408">
        <v>17</v>
      </c>
      <c r="F408">
        <f>Sayfa1!C408-273.15</f>
        <v>13.573510742187523</v>
      </c>
      <c r="G408">
        <v>55.348709106445313</v>
      </c>
      <c r="H408">
        <f>SQRT(Sayfa1!D408^2+Sayfa1!E408^2)</f>
        <v>1.9172159478884552</v>
      </c>
      <c r="I408">
        <f>SUM(Sayfa1!G385:G408)</f>
        <v>3.814697265625E-3</v>
      </c>
    </row>
    <row r="409" spans="1:9" x14ac:dyDescent="0.3">
      <c r="A409">
        <v>-118.5</v>
      </c>
      <c r="B409">
        <v>34.25</v>
      </c>
      <c r="C409">
        <v>2025</v>
      </c>
      <c r="D409">
        <v>1</v>
      </c>
      <c r="E409">
        <v>17</v>
      </c>
      <c r="F409">
        <f>Sayfa1!C409-273.15</f>
        <v>14.115869140625023</v>
      </c>
      <c r="G409">
        <v>54.126846313476563</v>
      </c>
      <c r="H409">
        <f>SQRT(Sayfa1!D409^2+Sayfa1!E409^2)</f>
        <v>2.2524659161461149</v>
      </c>
      <c r="I409">
        <f>SUM(Sayfa1!G386:G409)</f>
        <v>3.814697265625E-3</v>
      </c>
    </row>
    <row r="410" spans="1:9" x14ac:dyDescent="0.3">
      <c r="A410">
        <v>-118.5</v>
      </c>
      <c r="B410">
        <v>34.25</v>
      </c>
      <c r="C410">
        <v>2025</v>
      </c>
      <c r="D410">
        <v>1</v>
      </c>
      <c r="E410">
        <v>18</v>
      </c>
      <c r="F410">
        <f>Sayfa1!C410-273.15</f>
        <v>13.933862304687523</v>
      </c>
      <c r="G410">
        <v>57.99542236328125</v>
      </c>
      <c r="H410">
        <f>SQRT(Sayfa1!D410^2+Sayfa1!E410^2)</f>
        <v>2.4240190380267976</v>
      </c>
      <c r="I410">
        <f>SUM(Sayfa1!G387:G410)</f>
        <v>3.814697265625E-3</v>
      </c>
    </row>
    <row r="411" spans="1:9" x14ac:dyDescent="0.3">
      <c r="A411">
        <v>-118.5</v>
      </c>
      <c r="B411">
        <v>34.25</v>
      </c>
      <c r="C411">
        <v>2025</v>
      </c>
      <c r="D411">
        <v>1</v>
      </c>
      <c r="E411">
        <v>18</v>
      </c>
      <c r="F411">
        <f>Sayfa1!C411-273.15</f>
        <v>13.147607421875023</v>
      </c>
      <c r="G411">
        <v>66.2247314453125</v>
      </c>
      <c r="H411">
        <f>SQRT(Sayfa1!D411^2+Sayfa1!E411^2)</f>
        <v>1.6606842683026948</v>
      </c>
      <c r="I411">
        <f>SUM(Sayfa1!G388:G411)</f>
        <v>3.814697265625E-3</v>
      </c>
    </row>
    <row r="412" spans="1:9" x14ac:dyDescent="0.3">
      <c r="A412">
        <v>-118.5</v>
      </c>
      <c r="B412">
        <v>34.25</v>
      </c>
      <c r="C412">
        <v>2025</v>
      </c>
      <c r="D412">
        <v>1</v>
      </c>
      <c r="E412">
        <v>18</v>
      </c>
      <c r="F412">
        <f>Sayfa1!C412-273.15</f>
        <v>12.276879882812523</v>
      </c>
      <c r="G412">
        <v>75.842620849609375</v>
      </c>
      <c r="H412">
        <f>SQRT(Sayfa1!D412^2+Sayfa1!E412^2)</f>
        <v>1.2510784626567855</v>
      </c>
      <c r="I412">
        <f>SUM(Sayfa1!G389:G412)</f>
        <v>3.814697265625E-3</v>
      </c>
    </row>
    <row r="413" spans="1:9" x14ac:dyDescent="0.3">
      <c r="A413">
        <v>-118.5</v>
      </c>
      <c r="B413">
        <v>34.25</v>
      </c>
      <c r="C413">
        <v>2025</v>
      </c>
      <c r="D413">
        <v>1</v>
      </c>
      <c r="E413">
        <v>18</v>
      </c>
      <c r="F413">
        <f>Sayfa1!C413-273.15</f>
        <v>11.563317871093773</v>
      </c>
      <c r="G413">
        <v>84.102523803710938</v>
      </c>
      <c r="H413">
        <f>SQRT(Sayfa1!D413^2+Sayfa1!E413^2)</f>
        <v>0.91464809680523451</v>
      </c>
      <c r="I413">
        <f>SUM(Sayfa1!G390:G413)</f>
        <v>3.814697265625E-3</v>
      </c>
    </row>
    <row r="414" spans="1:9" x14ac:dyDescent="0.3">
      <c r="A414">
        <v>-118.5</v>
      </c>
      <c r="B414">
        <v>34.25</v>
      </c>
      <c r="C414">
        <v>2025</v>
      </c>
      <c r="D414">
        <v>1</v>
      </c>
      <c r="E414">
        <v>18</v>
      </c>
      <c r="F414">
        <f>Sayfa1!C414-273.15</f>
        <v>11.046228027343773</v>
      </c>
      <c r="G414">
        <v>90.298248291015625</v>
      </c>
      <c r="H414">
        <f>SQRT(Sayfa1!D414^2+Sayfa1!E414^2)</f>
        <v>0.57979395698118441</v>
      </c>
      <c r="I414">
        <f>SUM(Sayfa1!G391:G414)</f>
        <v>3.814697265625E-3</v>
      </c>
    </row>
    <row r="415" spans="1:9" x14ac:dyDescent="0.3">
      <c r="A415">
        <v>-118.5</v>
      </c>
      <c r="B415">
        <v>34.25</v>
      </c>
      <c r="C415">
        <v>2025</v>
      </c>
      <c r="D415">
        <v>1</v>
      </c>
      <c r="E415">
        <v>18</v>
      </c>
      <c r="F415">
        <f>Sayfa1!C415-273.15</f>
        <v>10.713281250000023</v>
      </c>
      <c r="G415">
        <v>94.575881958007813</v>
      </c>
      <c r="H415">
        <f>SQRT(Sayfa1!D415^2+Sayfa1!E415^2)</f>
        <v>0.76188728610734868</v>
      </c>
      <c r="I415">
        <f>SUM(Sayfa1!G392:G415)</f>
        <v>3.814697265625E-3</v>
      </c>
    </row>
    <row r="416" spans="1:9" x14ac:dyDescent="0.3">
      <c r="A416">
        <v>-118.5</v>
      </c>
      <c r="B416">
        <v>34.25</v>
      </c>
      <c r="C416">
        <v>2025</v>
      </c>
      <c r="D416">
        <v>1</v>
      </c>
      <c r="E416">
        <v>18</v>
      </c>
      <c r="F416">
        <f>Sayfa1!C416-273.15</f>
        <v>10.491174316406273</v>
      </c>
      <c r="G416">
        <v>96.730743408203125</v>
      </c>
      <c r="H416">
        <f>SQRT(Sayfa1!D416^2+Sayfa1!E416^2)</f>
        <v>0.93538385827053427</v>
      </c>
      <c r="I416">
        <f>SUM(Sayfa1!G393:G416)</f>
        <v>3.814697265625E-3</v>
      </c>
    </row>
    <row r="417" spans="1:9" x14ac:dyDescent="0.3">
      <c r="A417">
        <v>-118.5</v>
      </c>
      <c r="B417">
        <v>34.25</v>
      </c>
      <c r="C417">
        <v>2025</v>
      </c>
      <c r="D417">
        <v>1</v>
      </c>
      <c r="E417">
        <v>18</v>
      </c>
      <c r="F417">
        <f>Sayfa1!C417-273.15</f>
        <v>10.306970214843773</v>
      </c>
      <c r="G417">
        <v>98.352447509765625</v>
      </c>
      <c r="H417">
        <f>SQRT(Sayfa1!D417^2+Sayfa1!E417^2)</f>
        <v>1.0504886601397641</v>
      </c>
      <c r="I417">
        <f>SUM(Sayfa1!G394:G417)</f>
        <v>3.814697265625E-3</v>
      </c>
    </row>
    <row r="418" spans="1:9" x14ac:dyDescent="0.3">
      <c r="A418">
        <v>-118.5</v>
      </c>
      <c r="B418">
        <v>34.25</v>
      </c>
      <c r="C418">
        <v>2025</v>
      </c>
      <c r="D418">
        <v>1</v>
      </c>
      <c r="E418">
        <v>18</v>
      </c>
      <c r="F418">
        <f>Sayfa1!C418-273.15</f>
        <v>10.160546875000023</v>
      </c>
      <c r="G418">
        <v>99.611465454101563</v>
      </c>
      <c r="H418">
        <f>SQRT(Sayfa1!D418^2+Sayfa1!E418^2)</f>
        <v>1.1995012559428999</v>
      </c>
      <c r="I418">
        <f>SUM(Sayfa1!G395:G418)</f>
        <v>3.814697265625E-3</v>
      </c>
    </row>
    <row r="419" spans="1:9" x14ac:dyDescent="0.3">
      <c r="A419">
        <v>-118.5</v>
      </c>
      <c r="B419">
        <v>34.25</v>
      </c>
      <c r="C419">
        <v>2025</v>
      </c>
      <c r="D419">
        <v>1</v>
      </c>
      <c r="E419">
        <v>18</v>
      </c>
      <c r="F419">
        <f>Sayfa1!C419-273.15</f>
        <v>10.063562011718773</v>
      </c>
      <c r="G419">
        <v>100.89799499511719</v>
      </c>
      <c r="H419">
        <f>SQRT(Sayfa1!D419^2+Sayfa1!E419^2)</f>
        <v>1.4136299808321993</v>
      </c>
      <c r="I419">
        <f>SUM(Sayfa1!G396:G419)</f>
        <v>8.58306884765625E-3</v>
      </c>
    </row>
    <row r="420" spans="1:9" x14ac:dyDescent="0.3">
      <c r="A420">
        <v>-118.5</v>
      </c>
      <c r="B420">
        <v>34.25</v>
      </c>
      <c r="C420">
        <v>2025</v>
      </c>
      <c r="D420">
        <v>1</v>
      </c>
      <c r="E420">
        <v>18</v>
      </c>
      <c r="F420">
        <f>Sayfa1!C420-273.15</f>
        <v>9.4999023437500227</v>
      </c>
      <c r="G420">
        <v>103.28523254394531</v>
      </c>
      <c r="H420">
        <f>SQRT(Sayfa1!D420^2+Sayfa1!E420^2)</f>
        <v>1.7435564489736042</v>
      </c>
      <c r="I420">
        <f>SUM(Sayfa1!G397:G420)</f>
        <v>2.002716064453125E-2</v>
      </c>
    </row>
    <row r="421" spans="1:9" x14ac:dyDescent="0.3">
      <c r="A421">
        <v>-118.5</v>
      </c>
      <c r="B421">
        <v>34.25</v>
      </c>
      <c r="C421">
        <v>2025</v>
      </c>
      <c r="D421">
        <v>1</v>
      </c>
      <c r="E421">
        <v>18</v>
      </c>
      <c r="F421">
        <f>Sayfa1!C421-273.15</f>
        <v>9.7089477539062727</v>
      </c>
      <c r="G421">
        <v>98.339309692382813</v>
      </c>
      <c r="H421">
        <f>SQRT(Sayfa1!D421^2+Sayfa1!E421^2)</f>
        <v>1.9541779254898752</v>
      </c>
      <c r="I421">
        <f>SUM(Sayfa1!G398:G421)</f>
        <v>2.9087066650390625E-2</v>
      </c>
    </row>
    <row r="422" spans="1:9" x14ac:dyDescent="0.3">
      <c r="A422">
        <v>-118.5</v>
      </c>
      <c r="B422">
        <v>34.25</v>
      </c>
      <c r="C422">
        <v>2025</v>
      </c>
      <c r="D422">
        <v>1</v>
      </c>
      <c r="E422">
        <v>18</v>
      </c>
      <c r="F422">
        <f>Sayfa1!C422-273.15</f>
        <v>9.8624511718750227</v>
      </c>
      <c r="G422">
        <v>93.523239135742188</v>
      </c>
      <c r="H422">
        <f>SQRT(Sayfa1!D422^2+Sayfa1!E422^2)</f>
        <v>1.9335762204353386</v>
      </c>
      <c r="I422">
        <f>SUM(Sayfa1!G399:G422)</f>
        <v>2.956390380859375E-2</v>
      </c>
    </row>
    <row r="423" spans="1:9" x14ac:dyDescent="0.3">
      <c r="A423">
        <v>-118.5</v>
      </c>
      <c r="B423">
        <v>34.25</v>
      </c>
      <c r="C423">
        <v>2025</v>
      </c>
      <c r="D423">
        <v>1</v>
      </c>
      <c r="E423">
        <v>18</v>
      </c>
      <c r="F423">
        <f>Sayfa1!C423-273.15</f>
        <v>9.9608398437500227</v>
      </c>
      <c r="G423">
        <v>89.652206420898438</v>
      </c>
      <c r="H423">
        <f>SQRT(Sayfa1!D423^2+Sayfa1!E423^2)</f>
        <v>1.9588455465249746</v>
      </c>
      <c r="I423">
        <f>SUM(Sayfa1!G400:G423)</f>
        <v>3.0517578125E-2</v>
      </c>
    </row>
    <row r="424" spans="1:9" x14ac:dyDescent="0.3">
      <c r="A424">
        <v>-118.5</v>
      </c>
      <c r="B424">
        <v>34.25</v>
      </c>
      <c r="C424">
        <v>2025</v>
      </c>
      <c r="D424">
        <v>1</v>
      </c>
      <c r="E424">
        <v>18</v>
      </c>
      <c r="F424">
        <f>Sayfa1!C424-273.15</f>
        <v>10.113061523437523</v>
      </c>
      <c r="G424">
        <v>84.902969360351563</v>
      </c>
      <c r="H424">
        <f>SQRT(Sayfa1!D424^2+Sayfa1!E424^2)</f>
        <v>1.8168679055751882</v>
      </c>
      <c r="I424">
        <f>SUM(Sayfa1!G401:G424)</f>
        <v>3.24249267578125E-2</v>
      </c>
    </row>
    <row r="425" spans="1:9" x14ac:dyDescent="0.3">
      <c r="A425">
        <v>-118.5</v>
      </c>
      <c r="B425">
        <v>34.25</v>
      </c>
      <c r="C425">
        <v>2025</v>
      </c>
      <c r="D425">
        <v>1</v>
      </c>
      <c r="E425">
        <v>18</v>
      </c>
      <c r="F425">
        <f>Sayfa1!C425-273.15</f>
        <v>10.164880371093773</v>
      </c>
      <c r="G425">
        <v>81.258621215820313</v>
      </c>
      <c r="H425">
        <f>SQRT(Sayfa1!D425^2+Sayfa1!E425^2)</f>
        <v>1.8134273837322952</v>
      </c>
      <c r="I425">
        <f>SUM(Sayfa1!G402:G425)</f>
        <v>3.24249267578125E-2</v>
      </c>
    </row>
    <row r="426" spans="1:9" x14ac:dyDescent="0.3">
      <c r="A426">
        <v>-118.5</v>
      </c>
      <c r="B426">
        <v>34.25</v>
      </c>
      <c r="C426">
        <v>2025</v>
      </c>
      <c r="D426">
        <v>1</v>
      </c>
      <c r="E426">
        <v>18</v>
      </c>
      <c r="F426">
        <f>Sayfa1!C426-273.15</f>
        <v>10.251245117187523</v>
      </c>
      <c r="G426">
        <v>74.26806640625</v>
      </c>
      <c r="H426">
        <f>SQRT(Sayfa1!D426^2+Sayfa1!E426^2)</f>
        <v>1.2223242299943753</v>
      </c>
      <c r="I426">
        <f>SUM(Sayfa1!G403:G426)</f>
        <v>3.1948089599609375E-2</v>
      </c>
    </row>
    <row r="427" spans="1:9" x14ac:dyDescent="0.3">
      <c r="A427">
        <v>-118.5</v>
      </c>
      <c r="B427">
        <v>34.25</v>
      </c>
      <c r="C427">
        <v>2025</v>
      </c>
      <c r="D427">
        <v>1</v>
      </c>
      <c r="E427">
        <v>18</v>
      </c>
      <c r="F427">
        <f>Sayfa1!C427-273.15</f>
        <v>10.397607421875023</v>
      </c>
      <c r="G427">
        <v>62.56683349609375</v>
      </c>
      <c r="H427">
        <f>SQRT(Sayfa1!D427^2+Sayfa1!E427^2)</f>
        <v>0.60357055927147729</v>
      </c>
      <c r="I427">
        <f>SUM(Sayfa1!G404:G427)</f>
        <v>3.0040740966796875E-2</v>
      </c>
    </row>
    <row r="428" spans="1:9" x14ac:dyDescent="0.3">
      <c r="A428">
        <v>-118.5</v>
      </c>
      <c r="B428">
        <v>34.25</v>
      </c>
      <c r="C428">
        <v>2025</v>
      </c>
      <c r="D428">
        <v>1</v>
      </c>
      <c r="E428">
        <v>18</v>
      </c>
      <c r="F428">
        <f>Sayfa1!C428-273.15</f>
        <v>11.509667968750023</v>
      </c>
      <c r="G428">
        <v>54.154998779296875</v>
      </c>
      <c r="H428">
        <f>SQRT(Sayfa1!D428^2+Sayfa1!E428^2)</f>
        <v>0.39028214219816654</v>
      </c>
      <c r="I428">
        <f>SUM(Sayfa1!G405:G428)</f>
        <v>3.0040740966796875E-2</v>
      </c>
    </row>
    <row r="429" spans="1:9" x14ac:dyDescent="0.3">
      <c r="A429">
        <v>-118.5</v>
      </c>
      <c r="B429">
        <v>34.25</v>
      </c>
      <c r="C429">
        <v>2025</v>
      </c>
      <c r="D429">
        <v>1</v>
      </c>
      <c r="E429">
        <v>18</v>
      </c>
      <c r="F429">
        <f>Sayfa1!C429-273.15</f>
        <v>13.448144531250023</v>
      </c>
      <c r="G429">
        <v>45.25518798828125</v>
      </c>
      <c r="H429">
        <f>SQRT(Sayfa1!D429^2+Sayfa1!E429^2)</f>
        <v>0.16118674748306255</v>
      </c>
      <c r="I429">
        <f>SUM(Sayfa1!G406:G429)</f>
        <v>3.0040740966796875E-2</v>
      </c>
    </row>
    <row r="430" spans="1:9" x14ac:dyDescent="0.3">
      <c r="A430">
        <v>-118.5</v>
      </c>
      <c r="B430">
        <v>34.25</v>
      </c>
      <c r="C430">
        <v>2025</v>
      </c>
      <c r="D430">
        <v>1</v>
      </c>
      <c r="E430">
        <v>18</v>
      </c>
      <c r="F430">
        <f>Sayfa1!C430-273.15</f>
        <v>15.309472656250023</v>
      </c>
      <c r="G430">
        <v>37.660381317138672</v>
      </c>
      <c r="H430">
        <f>SQRT(Sayfa1!D430^2+Sayfa1!E430^2)</f>
        <v>0.32864881326238293</v>
      </c>
      <c r="I430">
        <f>SUM(Sayfa1!G407:G430)</f>
        <v>3.0040740966796875E-2</v>
      </c>
    </row>
    <row r="431" spans="1:9" x14ac:dyDescent="0.3">
      <c r="A431">
        <v>-118.5</v>
      </c>
      <c r="B431">
        <v>34.25</v>
      </c>
      <c r="C431">
        <v>2025</v>
      </c>
      <c r="D431">
        <v>1</v>
      </c>
      <c r="E431">
        <v>18</v>
      </c>
      <c r="F431">
        <f>Sayfa1!C431-273.15</f>
        <v>16.775659179687523</v>
      </c>
      <c r="G431">
        <v>33.431610107421875</v>
      </c>
      <c r="H431">
        <f>SQRT(Sayfa1!D431^2+Sayfa1!E431^2)</f>
        <v>0.8266792488090221</v>
      </c>
      <c r="I431">
        <f>SUM(Sayfa1!G408:G431)</f>
        <v>3.0040740966796875E-2</v>
      </c>
    </row>
    <row r="432" spans="1:9" x14ac:dyDescent="0.3">
      <c r="A432">
        <v>-118.5</v>
      </c>
      <c r="B432">
        <v>34.25</v>
      </c>
      <c r="C432">
        <v>2025</v>
      </c>
      <c r="D432">
        <v>1</v>
      </c>
      <c r="E432">
        <v>18</v>
      </c>
      <c r="F432">
        <f>Sayfa1!C432-273.15</f>
        <v>16.672021484375023</v>
      </c>
      <c r="G432">
        <v>34.876377105712891</v>
      </c>
      <c r="H432">
        <f>SQRT(Sayfa1!D432^2+Sayfa1!E432^2)</f>
        <v>1.3219557734367606</v>
      </c>
      <c r="I432">
        <f>SUM(Sayfa1!G409:G432)</f>
        <v>3.0040740966796875E-2</v>
      </c>
    </row>
    <row r="433" spans="1:9" x14ac:dyDescent="0.3">
      <c r="A433">
        <v>-118.5</v>
      </c>
      <c r="B433">
        <v>34.25</v>
      </c>
      <c r="C433">
        <v>2025</v>
      </c>
      <c r="D433">
        <v>1</v>
      </c>
      <c r="E433">
        <v>18</v>
      </c>
      <c r="F433">
        <f>Sayfa1!C433-273.15</f>
        <v>17.164941406250023</v>
      </c>
      <c r="G433">
        <v>35.030364990234375</v>
      </c>
      <c r="H433">
        <f>SQRT(Sayfa1!D433^2+Sayfa1!E433^2)</f>
        <v>1.632458919618055</v>
      </c>
      <c r="I433">
        <f>SUM(Sayfa1!G410:G433)</f>
        <v>3.0040740966796875E-2</v>
      </c>
    </row>
    <row r="434" spans="1:9" x14ac:dyDescent="0.3">
      <c r="A434">
        <v>-118.5</v>
      </c>
      <c r="B434">
        <v>34.25</v>
      </c>
      <c r="C434">
        <v>2025</v>
      </c>
      <c r="D434">
        <v>1</v>
      </c>
      <c r="E434">
        <v>19</v>
      </c>
      <c r="F434">
        <f>Sayfa1!C434-273.15</f>
        <v>16.807275390625023</v>
      </c>
      <c r="G434">
        <v>39.921188354492188</v>
      </c>
      <c r="H434">
        <f>SQRT(Sayfa1!D434^2+Sayfa1!E434^2)</f>
        <v>2.242180364253489</v>
      </c>
      <c r="I434">
        <f>SUM(Sayfa1!G411:G434)</f>
        <v>3.0040740966796875E-2</v>
      </c>
    </row>
    <row r="435" spans="1:9" x14ac:dyDescent="0.3">
      <c r="A435">
        <v>-118.5</v>
      </c>
      <c r="B435">
        <v>34.25</v>
      </c>
      <c r="C435">
        <v>2025</v>
      </c>
      <c r="D435">
        <v>1</v>
      </c>
      <c r="E435">
        <v>19</v>
      </c>
      <c r="F435">
        <f>Sayfa1!C435-273.15</f>
        <v>15.262353515625023</v>
      </c>
      <c r="G435">
        <v>50.749252319335938</v>
      </c>
      <c r="H435">
        <f>SQRT(Sayfa1!D435^2+Sayfa1!E435^2)</f>
        <v>2.0554516418076538</v>
      </c>
      <c r="I435">
        <f>SUM(Sayfa1!G412:G435)</f>
        <v>3.0040740966796875E-2</v>
      </c>
    </row>
    <row r="436" spans="1:9" x14ac:dyDescent="0.3">
      <c r="A436">
        <v>-118.5</v>
      </c>
      <c r="B436">
        <v>34.25</v>
      </c>
      <c r="C436">
        <v>2025</v>
      </c>
      <c r="D436">
        <v>1</v>
      </c>
      <c r="E436">
        <v>19</v>
      </c>
      <c r="F436">
        <f>Sayfa1!C436-273.15</f>
        <v>13.720971679687523</v>
      </c>
      <c r="G436">
        <v>60.6231689453125</v>
      </c>
      <c r="H436">
        <f>SQRT(Sayfa1!D436^2+Sayfa1!E436^2)</f>
        <v>1.4747213189316</v>
      </c>
      <c r="I436">
        <f>SUM(Sayfa1!G413:G436)</f>
        <v>3.0040740966796875E-2</v>
      </c>
    </row>
    <row r="437" spans="1:9" x14ac:dyDescent="0.3">
      <c r="A437">
        <v>-118.5</v>
      </c>
      <c r="B437">
        <v>34.25</v>
      </c>
      <c r="C437">
        <v>2025</v>
      </c>
      <c r="D437">
        <v>1</v>
      </c>
      <c r="E437">
        <v>19</v>
      </c>
      <c r="F437">
        <f>Sayfa1!C437-273.15</f>
        <v>13.282983398437523</v>
      </c>
      <c r="G437">
        <v>66.127334594726563</v>
      </c>
      <c r="H437">
        <f>SQRT(Sayfa1!D437^2+Sayfa1!E437^2)</f>
        <v>0.3905078122071341</v>
      </c>
      <c r="I437">
        <f>SUM(Sayfa1!G414:G437)</f>
        <v>3.0040740966796875E-2</v>
      </c>
    </row>
    <row r="438" spans="1:9" x14ac:dyDescent="0.3">
      <c r="A438">
        <v>-118.5</v>
      </c>
      <c r="B438">
        <v>34.25</v>
      </c>
      <c r="C438">
        <v>2025</v>
      </c>
      <c r="D438">
        <v>1</v>
      </c>
      <c r="E438">
        <v>19</v>
      </c>
      <c r="F438">
        <f>Sayfa1!C438-273.15</f>
        <v>13.780175781250023</v>
      </c>
      <c r="G438">
        <v>67.14453125</v>
      </c>
      <c r="H438">
        <f>SQRT(Sayfa1!D438^2+Sayfa1!E438^2)</f>
        <v>0.62564850816435358</v>
      </c>
      <c r="I438">
        <f>SUM(Sayfa1!G415:G438)</f>
        <v>3.0040740966796875E-2</v>
      </c>
    </row>
    <row r="439" spans="1:9" x14ac:dyDescent="0.3">
      <c r="A439">
        <v>-118.5</v>
      </c>
      <c r="B439">
        <v>34.25</v>
      </c>
      <c r="C439">
        <v>2025</v>
      </c>
      <c r="D439">
        <v>1</v>
      </c>
      <c r="E439">
        <v>19</v>
      </c>
      <c r="F439">
        <f>Sayfa1!C439-273.15</f>
        <v>14.143701171875023</v>
      </c>
      <c r="G439">
        <v>67.600418090820313</v>
      </c>
      <c r="H439">
        <f>SQRT(Sayfa1!D439^2+Sayfa1!E439^2)</f>
        <v>0.85795750593158238</v>
      </c>
      <c r="I439">
        <f>SUM(Sayfa1!G416:G439)</f>
        <v>3.0040740966796875E-2</v>
      </c>
    </row>
    <row r="440" spans="1:9" x14ac:dyDescent="0.3">
      <c r="A440">
        <v>-118.5</v>
      </c>
      <c r="B440">
        <v>34.25</v>
      </c>
      <c r="C440">
        <v>2025</v>
      </c>
      <c r="D440">
        <v>1</v>
      </c>
      <c r="E440">
        <v>19</v>
      </c>
      <c r="F440">
        <f>Sayfa1!C440-273.15</f>
        <v>13.975244140625023</v>
      </c>
      <c r="G440">
        <v>68.053085327148438</v>
      </c>
      <c r="H440">
        <f>SQRT(Sayfa1!D440^2+Sayfa1!E440^2)</f>
        <v>1.0563196909652561</v>
      </c>
      <c r="I440">
        <f>SUM(Sayfa1!G417:G440)</f>
        <v>3.0040740966796875E-2</v>
      </c>
    </row>
    <row r="441" spans="1:9" x14ac:dyDescent="0.3">
      <c r="A441">
        <v>-118.5</v>
      </c>
      <c r="B441">
        <v>34.25</v>
      </c>
      <c r="C441">
        <v>2025</v>
      </c>
      <c r="D441">
        <v>1</v>
      </c>
      <c r="E441">
        <v>19</v>
      </c>
      <c r="F441">
        <f>Sayfa1!C441-273.15</f>
        <v>13.509179687500023</v>
      </c>
      <c r="G441">
        <v>68.327484130859375</v>
      </c>
      <c r="H441">
        <f>SQRT(Sayfa1!D441^2+Sayfa1!E441^2)</f>
        <v>1.27749140203955</v>
      </c>
      <c r="I441">
        <f>SUM(Sayfa1!G418:G441)</f>
        <v>3.0040740966796875E-2</v>
      </c>
    </row>
    <row r="442" spans="1:9" x14ac:dyDescent="0.3">
      <c r="A442">
        <v>-118.5</v>
      </c>
      <c r="B442">
        <v>34.25</v>
      </c>
      <c r="C442">
        <v>2025</v>
      </c>
      <c r="D442">
        <v>1</v>
      </c>
      <c r="E442">
        <v>19</v>
      </c>
      <c r="F442">
        <f>Sayfa1!C442-273.15</f>
        <v>13.128686523437523</v>
      </c>
      <c r="G442">
        <v>68.19378662109375</v>
      </c>
      <c r="H442">
        <f>SQRT(Sayfa1!D442^2+Sayfa1!E442^2)</f>
        <v>1.4774752880144635</v>
      </c>
      <c r="I442">
        <f>SUM(Sayfa1!G419:G442)</f>
        <v>3.0040740966796875E-2</v>
      </c>
    </row>
    <row r="443" spans="1:9" x14ac:dyDescent="0.3">
      <c r="A443">
        <v>-118.5</v>
      </c>
      <c r="B443">
        <v>34.25</v>
      </c>
      <c r="C443">
        <v>2025</v>
      </c>
      <c r="D443">
        <v>1</v>
      </c>
      <c r="E443">
        <v>19</v>
      </c>
      <c r="F443">
        <f>Sayfa1!C443-273.15</f>
        <v>12.870996093750023</v>
      </c>
      <c r="G443">
        <v>68.39141845703125</v>
      </c>
      <c r="H443">
        <f>SQRT(Sayfa1!D443^2+Sayfa1!E443^2)</f>
        <v>1.6561361732173712</v>
      </c>
      <c r="I443">
        <f>SUM(Sayfa1!G420:G443)</f>
        <v>2.5272369384765625E-2</v>
      </c>
    </row>
    <row r="444" spans="1:9" x14ac:dyDescent="0.3">
      <c r="A444">
        <v>-118.5</v>
      </c>
      <c r="B444">
        <v>34.25</v>
      </c>
      <c r="C444">
        <v>2025</v>
      </c>
      <c r="D444">
        <v>1</v>
      </c>
      <c r="E444">
        <v>19</v>
      </c>
      <c r="F444">
        <f>Sayfa1!C444-273.15</f>
        <v>12.171899414062523</v>
      </c>
      <c r="G444">
        <v>76.988510131835938</v>
      </c>
      <c r="H444">
        <f>SQRT(Sayfa1!D444^2+Sayfa1!E444^2)</f>
        <v>1.9468532581061535</v>
      </c>
      <c r="I444">
        <f>SUM(Sayfa1!G421:G444)</f>
        <v>1.3828277587890625E-2</v>
      </c>
    </row>
    <row r="445" spans="1:9" x14ac:dyDescent="0.3">
      <c r="A445">
        <v>-118.5</v>
      </c>
      <c r="B445">
        <v>34.25</v>
      </c>
      <c r="C445">
        <v>2025</v>
      </c>
      <c r="D445">
        <v>1</v>
      </c>
      <c r="E445">
        <v>19</v>
      </c>
      <c r="F445">
        <f>Sayfa1!C445-273.15</f>
        <v>12.196069335937523</v>
      </c>
      <c r="G445">
        <v>73.08123779296875</v>
      </c>
      <c r="H445">
        <f>SQRT(Sayfa1!D445^2+Sayfa1!E445^2)</f>
        <v>1.5637170281616433</v>
      </c>
      <c r="I445">
        <f>SUM(Sayfa1!G422:G445)</f>
        <v>4.76837158203125E-3</v>
      </c>
    </row>
    <row r="446" spans="1:9" x14ac:dyDescent="0.3">
      <c r="A446">
        <v>-118.5</v>
      </c>
      <c r="B446">
        <v>34.25</v>
      </c>
      <c r="C446">
        <v>2025</v>
      </c>
      <c r="D446">
        <v>1</v>
      </c>
      <c r="E446">
        <v>19</v>
      </c>
      <c r="F446">
        <f>Sayfa1!C446-273.15</f>
        <v>12.188623046875023</v>
      </c>
      <c r="G446">
        <v>69.795440673828125</v>
      </c>
      <c r="H446">
        <f>SQRT(Sayfa1!D446^2+Sayfa1!E446^2)</f>
        <v>1.6249671947624984</v>
      </c>
      <c r="I446">
        <f>SUM(Sayfa1!G423:G446)</f>
        <v>4.291534423828125E-3</v>
      </c>
    </row>
    <row r="447" spans="1:9" x14ac:dyDescent="0.3">
      <c r="A447">
        <v>-118.5</v>
      </c>
      <c r="B447">
        <v>34.25</v>
      </c>
      <c r="C447">
        <v>2025</v>
      </c>
      <c r="D447">
        <v>1</v>
      </c>
      <c r="E447">
        <v>19</v>
      </c>
      <c r="F447">
        <f>Sayfa1!C447-273.15</f>
        <v>12.111474609375023</v>
      </c>
      <c r="G447">
        <v>67.917816162109375</v>
      </c>
      <c r="H447">
        <f>SQRT(Sayfa1!D447^2+Sayfa1!E447^2)</f>
        <v>1.6689403009590542</v>
      </c>
      <c r="I447">
        <f>SUM(Sayfa1!G424:G447)</f>
        <v>3.337860107421875E-3</v>
      </c>
    </row>
    <row r="448" spans="1:9" x14ac:dyDescent="0.3">
      <c r="A448">
        <v>-118.5</v>
      </c>
      <c r="B448">
        <v>34.25</v>
      </c>
      <c r="C448">
        <v>2025</v>
      </c>
      <c r="D448">
        <v>1</v>
      </c>
      <c r="E448">
        <v>19</v>
      </c>
      <c r="F448">
        <f>Sayfa1!C448-273.15</f>
        <v>11.974023437500023</v>
      </c>
      <c r="G448">
        <v>65.423934936523438</v>
      </c>
      <c r="H448">
        <f>SQRT(Sayfa1!D448^2+Sayfa1!E448^2)</f>
        <v>1.5392721664628044</v>
      </c>
      <c r="I448">
        <f>SUM(Sayfa1!G425:G448)</f>
        <v>1.430511474609375E-3</v>
      </c>
    </row>
    <row r="449" spans="1:9" x14ac:dyDescent="0.3">
      <c r="A449">
        <v>-118.5</v>
      </c>
      <c r="B449">
        <v>34.25</v>
      </c>
      <c r="C449">
        <v>2025</v>
      </c>
      <c r="D449">
        <v>1</v>
      </c>
      <c r="E449">
        <v>19</v>
      </c>
      <c r="F449">
        <f>Sayfa1!C449-273.15</f>
        <v>11.435205078125023</v>
      </c>
      <c r="G449">
        <v>64.14764404296875</v>
      </c>
      <c r="H449">
        <f>SQRT(Sayfa1!D449^2+Sayfa1!E449^2)</f>
        <v>1.2373064111879744</v>
      </c>
      <c r="I449">
        <f>SUM(Sayfa1!G426:G449)</f>
        <v>1.430511474609375E-3</v>
      </c>
    </row>
    <row r="450" spans="1:9" x14ac:dyDescent="0.3">
      <c r="A450">
        <v>-118.5</v>
      </c>
      <c r="B450">
        <v>34.25</v>
      </c>
      <c r="C450">
        <v>2025</v>
      </c>
      <c r="D450">
        <v>1</v>
      </c>
      <c r="E450">
        <v>19</v>
      </c>
      <c r="F450">
        <f>Sayfa1!C450-273.15</f>
        <v>10.822534179687523</v>
      </c>
      <c r="G450">
        <v>65.408966064453125</v>
      </c>
      <c r="H450">
        <f>SQRT(Sayfa1!D450^2+Sayfa1!E450^2)</f>
        <v>0.52641049783693472</v>
      </c>
      <c r="I450">
        <f>SUM(Sayfa1!G427:G450)</f>
        <v>1.430511474609375E-3</v>
      </c>
    </row>
    <row r="451" spans="1:9" x14ac:dyDescent="0.3">
      <c r="A451">
        <v>-118.5</v>
      </c>
      <c r="B451">
        <v>34.25</v>
      </c>
      <c r="C451">
        <v>2025</v>
      </c>
      <c r="D451">
        <v>1</v>
      </c>
      <c r="E451">
        <v>19</v>
      </c>
      <c r="F451">
        <f>Sayfa1!C451-273.15</f>
        <v>10.519555664062523</v>
      </c>
      <c r="G451">
        <v>65.24462890625</v>
      </c>
      <c r="H451">
        <f>SQRT(Sayfa1!D451^2+Sayfa1!E451^2)</f>
        <v>0.34008477593643521</v>
      </c>
      <c r="I451">
        <f>SUM(Sayfa1!G428:G451)</f>
        <v>4.76837158203125E-4</v>
      </c>
    </row>
    <row r="452" spans="1:9" x14ac:dyDescent="0.3">
      <c r="A452">
        <v>-118.5</v>
      </c>
      <c r="B452">
        <v>34.25</v>
      </c>
      <c r="C452">
        <v>2025</v>
      </c>
      <c r="D452">
        <v>1</v>
      </c>
      <c r="E452">
        <v>19</v>
      </c>
      <c r="F452">
        <f>Sayfa1!C452-273.15</f>
        <v>11.325708007812523</v>
      </c>
      <c r="G452">
        <v>60.954238891601563</v>
      </c>
      <c r="H452">
        <f>SQRT(Sayfa1!D452^2+Sayfa1!E452^2)</f>
        <v>0.87425803347344</v>
      </c>
      <c r="I452">
        <f>SUM(Sayfa1!G429:G452)</f>
        <v>0</v>
      </c>
    </row>
    <row r="453" spans="1:9" x14ac:dyDescent="0.3">
      <c r="A453">
        <v>-118.5</v>
      </c>
      <c r="B453">
        <v>34.25</v>
      </c>
      <c r="C453">
        <v>2025</v>
      </c>
      <c r="D453">
        <v>1</v>
      </c>
      <c r="E453">
        <v>19</v>
      </c>
      <c r="F453">
        <f>Sayfa1!C453-273.15</f>
        <v>12.838769531250023</v>
      </c>
      <c r="G453">
        <v>51.534759521484375</v>
      </c>
      <c r="H453">
        <f>SQRT(Sayfa1!D453^2+Sayfa1!E453^2)</f>
        <v>1.3914333857589565</v>
      </c>
      <c r="I453">
        <f>SUM(Sayfa1!G430:G453)</f>
        <v>0</v>
      </c>
    </row>
    <row r="454" spans="1:9" x14ac:dyDescent="0.3">
      <c r="A454">
        <v>-118.5</v>
      </c>
      <c r="B454">
        <v>34.25</v>
      </c>
      <c r="C454">
        <v>2025</v>
      </c>
      <c r="D454">
        <v>1</v>
      </c>
      <c r="E454">
        <v>19</v>
      </c>
      <c r="F454">
        <f>Sayfa1!C454-273.15</f>
        <v>14.135888671875023</v>
      </c>
      <c r="G454">
        <v>46.809234619140625</v>
      </c>
      <c r="H454">
        <f>SQRT(Sayfa1!D454^2+Sayfa1!E454^2)</f>
        <v>2.0368625397260285</v>
      </c>
      <c r="I454">
        <f>SUM(Sayfa1!G431:G454)</f>
        <v>0</v>
      </c>
    </row>
    <row r="455" spans="1:9" x14ac:dyDescent="0.3">
      <c r="A455">
        <v>-118.5</v>
      </c>
      <c r="B455">
        <v>34.25</v>
      </c>
      <c r="C455">
        <v>2025</v>
      </c>
      <c r="D455">
        <v>1</v>
      </c>
      <c r="E455">
        <v>19</v>
      </c>
      <c r="F455">
        <f>Sayfa1!C455-273.15</f>
        <v>15.072900390625023</v>
      </c>
      <c r="G455">
        <v>44.968643188476563</v>
      </c>
      <c r="H455">
        <f>SQRT(Sayfa1!D455^2+Sayfa1!E455^2)</f>
        <v>2.7594196976555554</v>
      </c>
      <c r="I455">
        <f>SUM(Sayfa1!G432:G455)</f>
        <v>0</v>
      </c>
    </row>
    <row r="456" spans="1:9" x14ac:dyDescent="0.3">
      <c r="A456">
        <v>-118.5</v>
      </c>
      <c r="B456">
        <v>34.25</v>
      </c>
      <c r="C456">
        <v>2025</v>
      </c>
      <c r="D456">
        <v>1</v>
      </c>
      <c r="E456">
        <v>19</v>
      </c>
      <c r="F456">
        <f>Sayfa1!C456-273.15</f>
        <v>14.080712890625023</v>
      </c>
      <c r="G456">
        <v>56.723526000976563</v>
      </c>
      <c r="H456">
        <f>SQRT(Sayfa1!D456^2+Sayfa1!E456^2)</f>
        <v>1.8277028533894979</v>
      </c>
      <c r="I456">
        <f>SUM(Sayfa1!G433:G456)</f>
        <v>0</v>
      </c>
    </row>
    <row r="457" spans="1:9" x14ac:dyDescent="0.3">
      <c r="A457">
        <v>-118.5</v>
      </c>
      <c r="B457">
        <v>34.25</v>
      </c>
      <c r="C457">
        <v>2025</v>
      </c>
      <c r="D457">
        <v>1</v>
      </c>
      <c r="E457">
        <v>19</v>
      </c>
      <c r="F457">
        <f>Sayfa1!C457-273.15</f>
        <v>14.405419921875023</v>
      </c>
      <c r="G457">
        <v>57.786834716796875</v>
      </c>
      <c r="H457">
        <f>SQRT(Sayfa1!D457^2+Sayfa1!E457^2)</f>
        <v>2.1464278903680487</v>
      </c>
      <c r="I457">
        <f>SUM(Sayfa1!G434:G457)</f>
        <v>0</v>
      </c>
    </row>
    <row r="458" spans="1:9" x14ac:dyDescent="0.3">
      <c r="A458">
        <v>-118.5</v>
      </c>
      <c r="B458">
        <v>34.25</v>
      </c>
      <c r="C458">
        <v>2025</v>
      </c>
      <c r="D458">
        <v>1</v>
      </c>
      <c r="E458">
        <v>20</v>
      </c>
      <c r="F458">
        <f>Sayfa1!C458-273.15</f>
        <v>14.171289062500023</v>
      </c>
      <c r="G458">
        <v>61.569122314453125</v>
      </c>
      <c r="H458">
        <f>SQRT(Sayfa1!D458^2+Sayfa1!E458^2)</f>
        <v>2.1705237432908029</v>
      </c>
      <c r="I458">
        <f>SUM(Sayfa1!G435:G458)</f>
        <v>0</v>
      </c>
    </row>
    <row r="459" spans="1:9" x14ac:dyDescent="0.3">
      <c r="A459">
        <v>-118.5</v>
      </c>
      <c r="B459">
        <v>34.25</v>
      </c>
      <c r="C459">
        <v>2025</v>
      </c>
      <c r="D459">
        <v>1</v>
      </c>
      <c r="E459">
        <v>20</v>
      </c>
      <c r="F459">
        <f>Sayfa1!C459-273.15</f>
        <v>13.100366210937523</v>
      </c>
      <c r="G459">
        <v>71.447906494140625</v>
      </c>
      <c r="H459">
        <f>SQRT(Sayfa1!D459^2+Sayfa1!E459^2)</f>
        <v>1.6599844655749372</v>
      </c>
      <c r="I459">
        <f>SUM(Sayfa1!G436:G459)</f>
        <v>0</v>
      </c>
    </row>
    <row r="460" spans="1:9" x14ac:dyDescent="0.3">
      <c r="A460">
        <v>-118.5</v>
      </c>
      <c r="B460">
        <v>34.25</v>
      </c>
      <c r="C460">
        <v>2025</v>
      </c>
      <c r="D460">
        <v>1</v>
      </c>
      <c r="E460">
        <v>20</v>
      </c>
      <c r="F460">
        <f>Sayfa1!C460-273.15</f>
        <v>11.921777343750023</v>
      </c>
      <c r="G460">
        <v>81.699325561523438</v>
      </c>
      <c r="H460">
        <f>SQRT(Sayfa1!D460^2+Sayfa1!E460^2)</f>
        <v>1.41709565943937</v>
      </c>
      <c r="I460">
        <f>SUM(Sayfa1!G437:G460)</f>
        <v>0</v>
      </c>
    </row>
    <row r="461" spans="1:9" x14ac:dyDescent="0.3">
      <c r="A461">
        <v>-118.5</v>
      </c>
      <c r="B461">
        <v>34.25</v>
      </c>
      <c r="C461">
        <v>2025</v>
      </c>
      <c r="D461">
        <v>1</v>
      </c>
      <c r="E461">
        <v>20</v>
      </c>
      <c r="F461">
        <f>Sayfa1!C461-273.15</f>
        <v>11.214379882812523</v>
      </c>
      <c r="G461">
        <v>88.938186645507813</v>
      </c>
      <c r="H461">
        <f>SQRT(Sayfa1!D461^2+Sayfa1!E461^2)</f>
        <v>1.0756008824831855</v>
      </c>
      <c r="I461">
        <f>SUM(Sayfa1!G438:G461)</f>
        <v>0</v>
      </c>
    </row>
    <row r="462" spans="1:9" x14ac:dyDescent="0.3">
      <c r="A462">
        <v>-118.5</v>
      </c>
      <c r="B462">
        <v>34.25</v>
      </c>
      <c r="C462">
        <v>2025</v>
      </c>
      <c r="D462">
        <v>1</v>
      </c>
      <c r="E462">
        <v>20</v>
      </c>
      <c r="F462">
        <f>Sayfa1!C462-273.15</f>
        <v>10.938500976562523</v>
      </c>
      <c r="G462">
        <v>93.783782958984375</v>
      </c>
      <c r="H462">
        <f>SQRT(Sayfa1!D462^2+Sayfa1!E462^2)</f>
        <v>0.41118691948026564</v>
      </c>
      <c r="I462">
        <f>SUM(Sayfa1!G439:G462)</f>
        <v>0</v>
      </c>
    </row>
    <row r="463" spans="1:9" x14ac:dyDescent="0.3">
      <c r="A463">
        <v>-118.5</v>
      </c>
      <c r="B463">
        <v>34.25</v>
      </c>
      <c r="C463">
        <v>2025</v>
      </c>
      <c r="D463">
        <v>1</v>
      </c>
      <c r="E463">
        <v>20</v>
      </c>
      <c r="F463">
        <f>Sayfa1!C463-273.15</f>
        <v>10.860498046875023</v>
      </c>
      <c r="G463">
        <v>96.309173583984375</v>
      </c>
      <c r="H463">
        <f>SQRT(Sayfa1!D463^2+Sayfa1!E463^2)</f>
        <v>0.26705409338995256</v>
      </c>
      <c r="I463">
        <f>SUM(Sayfa1!G440:G463)</f>
        <v>0</v>
      </c>
    </row>
    <row r="464" spans="1:9" x14ac:dyDescent="0.3">
      <c r="A464">
        <v>-118.5</v>
      </c>
      <c r="B464">
        <v>34.25</v>
      </c>
      <c r="C464">
        <v>2025</v>
      </c>
      <c r="D464">
        <v>1</v>
      </c>
      <c r="E464">
        <v>20</v>
      </c>
      <c r="F464">
        <f>Sayfa1!C464-273.15</f>
        <v>10.684228515625023</v>
      </c>
      <c r="G464">
        <v>97.528717041015625</v>
      </c>
      <c r="H464">
        <f>SQRT(Sayfa1!D464^2+Sayfa1!E464^2)</f>
        <v>0.43491721772872455</v>
      </c>
      <c r="I464">
        <f>SUM(Sayfa1!G441:G464)</f>
        <v>0</v>
      </c>
    </row>
    <row r="465" spans="1:9" x14ac:dyDescent="0.3">
      <c r="A465">
        <v>-118.5</v>
      </c>
      <c r="B465">
        <v>34.25</v>
      </c>
      <c r="C465">
        <v>2025</v>
      </c>
      <c r="D465">
        <v>1</v>
      </c>
      <c r="E465">
        <v>20</v>
      </c>
      <c r="F465">
        <f>Sayfa1!C465-273.15</f>
        <v>10.446313476562523</v>
      </c>
      <c r="G465">
        <v>97.353164672851563</v>
      </c>
      <c r="H465">
        <f>SQRT(Sayfa1!D465^2+Sayfa1!E465^2)</f>
        <v>0.91095583557418813</v>
      </c>
      <c r="I465">
        <f>SUM(Sayfa1!G442:G465)</f>
        <v>0</v>
      </c>
    </row>
    <row r="466" spans="1:9" x14ac:dyDescent="0.3">
      <c r="A466">
        <v>-118.5</v>
      </c>
      <c r="B466">
        <v>34.25</v>
      </c>
      <c r="C466">
        <v>2025</v>
      </c>
      <c r="D466">
        <v>1</v>
      </c>
      <c r="E466">
        <v>20</v>
      </c>
      <c r="F466">
        <f>Sayfa1!C466-273.15</f>
        <v>10.301416015625023</v>
      </c>
      <c r="G466">
        <v>96.298309326171875</v>
      </c>
      <c r="H466">
        <f>SQRT(Sayfa1!D466^2+Sayfa1!E466^2)</f>
        <v>1.3418966486850081</v>
      </c>
      <c r="I466">
        <f>SUM(Sayfa1!G443:G466)</f>
        <v>0</v>
      </c>
    </row>
    <row r="467" spans="1:9" x14ac:dyDescent="0.3">
      <c r="A467">
        <v>-118.5</v>
      </c>
      <c r="B467">
        <v>34.25</v>
      </c>
      <c r="C467">
        <v>2025</v>
      </c>
      <c r="D467">
        <v>1</v>
      </c>
      <c r="E467">
        <v>20</v>
      </c>
      <c r="F467">
        <f>Sayfa1!C467-273.15</f>
        <v>10.392358398437523</v>
      </c>
      <c r="G467">
        <v>95.216888427734375</v>
      </c>
      <c r="H467">
        <f>SQRT(Sayfa1!D467^2+Sayfa1!E467^2)</f>
        <v>1.5581695345621589</v>
      </c>
      <c r="I467">
        <f>SUM(Sayfa1!G444:G467)</f>
        <v>4.76837158203125E-4</v>
      </c>
    </row>
    <row r="468" spans="1:9" x14ac:dyDescent="0.3">
      <c r="A468">
        <v>-118.5</v>
      </c>
      <c r="B468">
        <v>34.25</v>
      </c>
      <c r="C468">
        <v>2025</v>
      </c>
      <c r="D468">
        <v>1</v>
      </c>
      <c r="E468">
        <v>20</v>
      </c>
      <c r="F468">
        <f>Sayfa1!C468-273.15</f>
        <v>10.521691894531273</v>
      </c>
      <c r="G468">
        <v>94.4361572265625</v>
      </c>
      <c r="H468">
        <f>SQRT(Sayfa1!D468^2+Sayfa1!E468^2)</f>
        <v>1.8963989973738884</v>
      </c>
      <c r="I468">
        <f>SUM(Sayfa1!G445:G468)</f>
        <v>9.5367431640625E-4</v>
      </c>
    </row>
    <row r="469" spans="1:9" x14ac:dyDescent="0.3">
      <c r="A469">
        <v>-118.5</v>
      </c>
      <c r="B469">
        <v>34.25</v>
      </c>
      <c r="C469">
        <v>2025</v>
      </c>
      <c r="D469">
        <v>1</v>
      </c>
      <c r="E469">
        <v>20</v>
      </c>
      <c r="F469">
        <f>Sayfa1!C469-273.15</f>
        <v>11.252038574218773</v>
      </c>
      <c r="G469">
        <v>93.198333740234375</v>
      </c>
      <c r="H469">
        <f>SQRT(Sayfa1!D469^2+Sayfa1!E469^2)</f>
        <v>1.8809934942857376</v>
      </c>
      <c r="I469">
        <f>SUM(Sayfa1!G446:G469)</f>
        <v>1.430511474609375E-3</v>
      </c>
    </row>
    <row r="470" spans="1:9" x14ac:dyDescent="0.3">
      <c r="A470">
        <v>-118.5</v>
      </c>
      <c r="B470">
        <v>34.25</v>
      </c>
      <c r="C470">
        <v>2025</v>
      </c>
      <c r="D470">
        <v>1</v>
      </c>
      <c r="E470">
        <v>20</v>
      </c>
      <c r="F470">
        <f>Sayfa1!C470-273.15</f>
        <v>11.816735839843773</v>
      </c>
      <c r="G470">
        <v>87.40875244140625</v>
      </c>
      <c r="H470">
        <f>SQRT(Sayfa1!D470^2+Sayfa1!E470^2)</f>
        <v>2.0147132646991346</v>
      </c>
      <c r="I470">
        <f>SUM(Sayfa1!G447:G470)</f>
        <v>1.430511474609375E-3</v>
      </c>
    </row>
    <row r="471" spans="1:9" x14ac:dyDescent="0.3">
      <c r="A471">
        <v>-118.5</v>
      </c>
      <c r="B471">
        <v>34.25</v>
      </c>
      <c r="C471">
        <v>2025</v>
      </c>
      <c r="D471">
        <v>1</v>
      </c>
      <c r="E471">
        <v>20</v>
      </c>
      <c r="F471">
        <f>Sayfa1!C471-273.15</f>
        <v>12.240747070312523</v>
      </c>
      <c r="G471">
        <v>80.901687622070313</v>
      </c>
      <c r="H471">
        <f>SQRT(Sayfa1!D471^2+Sayfa1!E471^2)</f>
        <v>2.0986848976595636</v>
      </c>
      <c r="I471">
        <f>SUM(Sayfa1!G448:G471)</f>
        <v>1.430511474609375E-3</v>
      </c>
    </row>
    <row r="472" spans="1:9" x14ac:dyDescent="0.3">
      <c r="A472">
        <v>-118.5</v>
      </c>
      <c r="B472">
        <v>34.25</v>
      </c>
      <c r="C472">
        <v>2025</v>
      </c>
      <c r="D472">
        <v>1</v>
      </c>
      <c r="E472">
        <v>20</v>
      </c>
      <c r="F472">
        <f>Sayfa1!C472-273.15</f>
        <v>12.553247070312523</v>
      </c>
      <c r="G472">
        <v>78.258865356445313</v>
      </c>
      <c r="H472">
        <f>SQRT(Sayfa1!D472^2+Sayfa1!E472^2)</f>
        <v>2.2912775353488</v>
      </c>
      <c r="I472">
        <f>SUM(Sayfa1!G449:G472)</f>
        <v>1.430511474609375E-3</v>
      </c>
    </row>
    <row r="473" spans="1:9" x14ac:dyDescent="0.3">
      <c r="A473">
        <v>-118.5</v>
      </c>
      <c r="B473">
        <v>34.25</v>
      </c>
      <c r="C473">
        <v>2025</v>
      </c>
      <c r="D473">
        <v>1</v>
      </c>
      <c r="E473">
        <v>20</v>
      </c>
      <c r="F473">
        <f>Sayfa1!C473-273.15</f>
        <v>13.041040039062523</v>
      </c>
      <c r="G473">
        <v>75.494903564453125</v>
      </c>
      <c r="H473">
        <f>SQRT(Sayfa1!D473^2+Sayfa1!E473^2)</f>
        <v>2.4562999330826587</v>
      </c>
      <c r="I473">
        <f>SUM(Sayfa1!G450:G473)</f>
        <v>1.430511474609375E-3</v>
      </c>
    </row>
    <row r="474" spans="1:9" x14ac:dyDescent="0.3">
      <c r="A474">
        <v>-118.5</v>
      </c>
      <c r="B474">
        <v>34.25</v>
      </c>
      <c r="C474">
        <v>2025</v>
      </c>
      <c r="D474">
        <v>1</v>
      </c>
      <c r="E474">
        <v>20</v>
      </c>
      <c r="F474">
        <f>Sayfa1!C474-273.15</f>
        <v>13.581933593750023</v>
      </c>
      <c r="G474">
        <v>64.173904418945313</v>
      </c>
      <c r="H474">
        <f>SQRT(Sayfa1!D474^2+Sayfa1!E474^2)</f>
        <v>2.3330639214273443</v>
      </c>
      <c r="I474">
        <f>SUM(Sayfa1!G451:G474)</f>
        <v>1.430511474609375E-3</v>
      </c>
    </row>
    <row r="475" spans="1:9" x14ac:dyDescent="0.3">
      <c r="A475">
        <v>-118.5</v>
      </c>
      <c r="B475">
        <v>34.25</v>
      </c>
      <c r="C475">
        <v>2025</v>
      </c>
      <c r="D475">
        <v>1</v>
      </c>
      <c r="E475">
        <v>20</v>
      </c>
      <c r="F475">
        <f>Sayfa1!C475-273.15</f>
        <v>13.594018554687523</v>
      </c>
      <c r="G475">
        <v>40.5283203125</v>
      </c>
      <c r="H475">
        <f>SQRT(Sayfa1!D475^2+Sayfa1!E475^2)</f>
        <v>2.294509566279781</v>
      </c>
      <c r="I475">
        <f>SUM(Sayfa1!G452:G475)</f>
        <v>1.430511474609375E-3</v>
      </c>
    </row>
    <row r="476" spans="1:9" x14ac:dyDescent="0.3">
      <c r="A476">
        <v>-118.5</v>
      </c>
      <c r="B476">
        <v>34.25</v>
      </c>
      <c r="C476">
        <v>2025</v>
      </c>
      <c r="D476">
        <v>1</v>
      </c>
      <c r="E476">
        <v>20</v>
      </c>
      <c r="F476">
        <f>Sayfa1!C476-273.15</f>
        <v>14.735620117187523</v>
      </c>
      <c r="G476">
        <v>19.295154571533203</v>
      </c>
      <c r="H476">
        <f>SQRT(Sayfa1!D476^2+Sayfa1!E476^2)</f>
        <v>3.6606828017000574</v>
      </c>
      <c r="I476">
        <f>SUM(Sayfa1!G453:G476)</f>
        <v>1.430511474609375E-3</v>
      </c>
    </row>
    <row r="477" spans="1:9" x14ac:dyDescent="0.3">
      <c r="A477">
        <v>-118.5</v>
      </c>
      <c r="B477">
        <v>34.25</v>
      </c>
      <c r="C477">
        <v>2025</v>
      </c>
      <c r="D477">
        <v>1</v>
      </c>
      <c r="E477">
        <v>20</v>
      </c>
      <c r="F477">
        <f>Sayfa1!C477-273.15</f>
        <v>16.422814941406273</v>
      </c>
      <c r="G477">
        <v>13.458696365356445</v>
      </c>
      <c r="H477">
        <f>SQRT(Sayfa1!D477^2+Sayfa1!E477^2)</f>
        <v>5.0875059699261413</v>
      </c>
      <c r="I477">
        <f>SUM(Sayfa1!G454:G477)</f>
        <v>1.430511474609375E-3</v>
      </c>
    </row>
    <row r="478" spans="1:9" x14ac:dyDescent="0.3">
      <c r="A478">
        <v>-118.5</v>
      </c>
      <c r="B478">
        <v>34.25</v>
      </c>
      <c r="C478">
        <v>2025</v>
      </c>
      <c r="D478">
        <v>1</v>
      </c>
      <c r="E478">
        <v>20</v>
      </c>
      <c r="F478">
        <f>Sayfa1!C478-273.15</f>
        <v>16.902307128906273</v>
      </c>
      <c r="G478">
        <v>13.093277931213379</v>
      </c>
      <c r="H478">
        <f>SQRT(Sayfa1!D478^2+Sayfa1!E478^2)</f>
        <v>5.4365344808043883</v>
      </c>
      <c r="I478">
        <f>SUM(Sayfa1!G455:G478)</f>
        <v>1.430511474609375E-3</v>
      </c>
    </row>
    <row r="479" spans="1:9" x14ac:dyDescent="0.3">
      <c r="A479">
        <v>-118.5</v>
      </c>
      <c r="B479">
        <v>34.25</v>
      </c>
      <c r="C479">
        <v>2025</v>
      </c>
      <c r="D479">
        <v>1</v>
      </c>
      <c r="E479">
        <v>20</v>
      </c>
      <c r="F479">
        <f>Sayfa1!C479-273.15</f>
        <v>17.083337402343773</v>
      </c>
      <c r="G479">
        <v>12.550806045532227</v>
      </c>
      <c r="H479">
        <f>SQRT(Sayfa1!D479^2+Sayfa1!E479^2)</f>
        <v>5.2053251449414537</v>
      </c>
      <c r="I479">
        <f>SUM(Sayfa1!G456:G479)</f>
        <v>1.430511474609375E-3</v>
      </c>
    </row>
    <row r="480" spans="1:9" x14ac:dyDescent="0.3">
      <c r="A480">
        <v>-118.5</v>
      </c>
      <c r="B480">
        <v>34.25</v>
      </c>
      <c r="C480">
        <v>2025</v>
      </c>
      <c r="D480">
        <v>1</v>
      </c>
      <c r="E480">
        <v>20</v>
      </c>
      <c r="F480">
        <f>Sayfa1!C480-273.15</f>
        <v>17.253503417968773</v>
      </c>
      <c r="G480">
        <v>10.473834991455078</v>
      </c>
      <c r="H480">
        <f>SQRT(Sayfa1!D480^2+Sayfa1!E480^2)</f>
        <v>4.8365062467427613</v>
      </c>
      <c r="I480">
        <f>SUM(Sayfa1!G457:G480)</f>
        <v>1.430511474609375E-3</v>
      </c>
    </row>
    <row r="481" spans="1:9" x14ac:dyDescent="0.3">
      <c r="A481">
        <v>-118.5</v>
      </c>
      <c r="B481">
        <v>34.25</v>
      </c>
      <c r="C481">
        <v>2025</v>
      </c>
      <c r="D481">
        <v>1</v>
      </c>
      <c r="E481">
        <v>20</v>
      </c>
      <c r="F481">
        <f>Sayfa1!C481-273.15</f>
        <v>17.472741699218773</v>
      </c>
      <c r="G481">
        <v>9.1427726745605469</v>
      </c>
      <c r="H481">
        <f>SQRT(Sayfa1!D481^2+Sayfa1!E481^2)</f>
        <v>4.5869460220514844</v>
      </c>
      <c r="I481">
        <f>SUM(Sayfa1!G458:G481)</f>
        <v>1.430511474609375E-3</v>
      </c>
    </row>
    <row r="482" spans="1:9" x14ac:dyDescent="0.3">
      <c r="A482">
        <v>-118.5</v>
      </c>
      <c r="B482">
        <v>34.25</v>
      </c>
      <c r="C482">
        <v>2025</v>
      </c>
      <c r="D482">
        <v>1</v>
      </c>
      <c r="E482">
        <v>21</v>
      </c>
      <c r="F482">
        <f>Sayfa1!C482-273.15</f>
        <v>17.377893066406273</v>
      </c>
      <c r="G482">
        <v>9.0373048782348633</v>
      </c>
      <c r="H482">
        <f>SQRT(Sayfa1!D482^2+Sayfa1!E482^2)</f>
        <v>3.6599680932426089</v>
      </c>
      <c r="I482">
        <f>SUM(Sayfa1!G459:G482)</f>
        <v>1.430511474609375E-3</v>
      </c>
    </row>
    <row r="483" spans="1:9" x14ac:dyDescent="0.3">
      <c r="A483">
        <v>-118.5</v>
      </c>
      <c r="B483">
        <v>34.25</v>
      </c>
      <c r="C483">
        <v>2025</v>
      </c>
      <c r="D483">
        <v>1</v>
      </c>
      <c r="E483">
        <v>21</v>
      </c>
      <c r="F483">
        <f>Sayfa1!C483-273.15</f>
        <v>16.976403808593773</v>
      </c>
      <c r="G483">
        <v>9.6899709701538086</v>
      </c>
      <c r="H483">
        <f>SQRT(Sayfa1!D483^2+Sayfa1!E483^2)</f>
        <v>2.5878692268440595</v>
      </c>
      <c r="I483">
        <f>SUM(Sayfa1!G460:G483)</f>
        <v>1.430511474609375E-3</v>
      </c>
    </row>
    <row r="484" spans="1:9" x14ac:dyDescent="0.3">
      <c r="A484">
        <v>-118.5</v>
      </c>
      <c r="B484">
        <v>34.25</v>
      </c>
      <c r="C484">
        <v>2025</v>
      </c>
      <c r="D484">
        <v>1</v>
      </c>
      <c r="E484">
        <v>21</v>
      </c>
      <c r="F484">
        <f>Sayfa1!C484-273.15</f>
        <v>16.298364257812523</v>
      </c>
      <c r="G484">
        <v>10.233942031860352</v>
      </c>
      <c r="H484">
        <f>SQRT(Sayfa1!D484^2+Sayfa1!E484^2)</f>
        <v>2.3008370980141724</v>
      </c>
      <c r="I484">
        <f>SUM(Sayfa1!G461:G484)</f>
        <v>1.430511474609375E-3</v>
      </c>
    </row>
    <row r="485" spans="1:9" x14ac:dyDescent="0.3">
      <c r="A485">
        <v>-118.5</v>
      </c>
      <c r="B485">
        <v>34.25</v>
      </c>
      <c r="C485">
        <v>2025</v>
      </c>
      <c r="D485">
        <v>1</v>
      </c>
      <c r="E485">
        <v>21</v>
      </c>
      <c r="F485">
        <f>Sayfa1!C485-273.15</f>
        <v>15.456933593750023</v>
      </c>
      <c r="G485">
        <v>11.783275604248047</v>
      </c>
      <c r="H485">
        <f>SQRT(Sayfa1!D485^2+Sayfa1!E485^2)</f>
        <v>2.3286632343808717</v>
      </c>
      <c r="I485">
        <f>SUM(Sayfa1!G462:G485)</f>
        <v>1.430511474609375E-3</v>
      </c>
    </row>
    <row r="486" spans="1:9" x14ac:dyDescent="0.3">
      <c r="A486">
        <v>-118.5</v>
      </c>
      <c r="B486">
        <v>34.25</v>
      </c>
      <c r="C486">
        <v>2025</v>
      </c>
      <c r="D486">
        <v>1</v>
      </c>
      <c r="E486">
        <v>21</v>
      </c>
      <c r="F486">
        <f>Sayfa1!C486-273.15</f>
        <v>14.672631835937523</v>
      </c>
      <c r="G486">
        <v>13.91051197052002</v>
      </c>
      <c r="H486">
        <f>SQRT(Sayfa1!D486^2+Sayfa1!E486^2)</f>
        <v>2.3998858924235882</v>
      </c>
      <c r="I486">
        <f>SUM(Sayfa1!G463:G486)</f>
        <v>1.430511474609375E-3</v>
      </c>
    </row>
    <row r="487" spans="1:9" x14ac:dyDescent="0.3">
      <c r="A487">
        <v>-118.5</v>
      </c>
      <c r="B487">
        <v>34.25</v>
      </c>
      <c r="C487">
        <v>2025</v>
      </c>
      <c r="D487">
        <v>1</v>
      </c>
      <c r="E487">
        <v>21</v>
      </c>
      <c r="F487">
        <f>Sayfa1!C487-273.15</f>
        <v>13.975122070312523</v>
      </c>
      <c r="G487">
        <v>16.623542785644531</v>
      </c>
      <c r="H487">
        <f>SQRT(Sayfa1!D487^2+Sayfa1!E487^2)</f>
        <v>2.4777798620677514</v>
      </c>
      <c r="I487">
        <f>SUM(Sayfa1!G464:G487)</f>
        <v>1.430511474609375E-3</v>
      </c>
    </row>
    <row r="488" spans="1:9" x14ac:dyDescent="0.3">
      <c r="A488">
        <v>-118.5</v>
      </c>
      <c r="B488">
        <v>34.25</v>
      </c>
      <c r="C488">
        <v>2025</v>
      </c>
      <c r="D488">
        <v>1</v>
      </c>
      <c r="E488">
        <v>21</v>
      </c>
      <c r="F488">
        <f>Sayfa1!C488-273.15</f>
        <v>13.101586914062523</v>
      </c>
      <c r="G488">
        <v>18.067703247070313</v>
      </c>
      <c r="H488">
        <f>SQRT(Sayfa1!D488^2+Sayfa1!E488^2)</f>
        <v>2.5167029443735989</v>
      </c>
      <c r="I488">
        <f>SUM(Sayfa1!G465:G488)</f>
        <v>1.430511474609375E-3</v>
      </c>
    </row>
    <row r="489" spans="1:9" x14ac:dyDescent="0.3">
      <c r="A489">
        <v>-118.5</v>
      </c>
      <c r="B489">
        <v>34.25</v>
      </c>
      <c r="C489">
        <v>2025</v>
      </c>
      <c r="D489">
        <v>1</v>
      </c>
      <c r="E489">
        <v>21</v>
      </c>
      <c r="F489">
        <f>Sayfa1!C489-273.15</f>
        <v>12.110742187500023</v>
      </c>
      <c r="G489">
        <v>18.020702362060547</v>
      </c>
      <c r="H489">
        <f>SQRT(Sayfa1!D489^2+Sayfa1!E489^2)</f>
        <v>2.5953980849036609</v>
      </c>
      <c r="I489">
        <f>SUM(Sayfa1!G466:G489)</f>
        <v>1.430511474609375E-3</v>
      </c>
    </row>
    <row r="490" spans="1:9" x14ac:dyDescent="0.3">
      <c r="A490">
        <v>-118.5</v>
      </c>
      <c r="B490">
        <v>34.25</v>
      </c>
      <c r="C490">
        <v>2025</v>
      </c>
      <c r="D490">
        <v>1</v>
      </c>
      <c r="E490">
        <v>21</v>
      </c>
      <c r="F490">
        <f>Sayfa1!C490-273.15</f>
        <v>11.503686523437523</v>
      </c>
      <c r="G490">
        <v>18.576839447021484</v>
      </c>
      <c r="H490">
        <f>SQRT(Sayfa1!D490^2+Sayfa1!E490^2)</f>
        <v>2.7658424619434707</v>
      </c>
      <c r="I490">
        <f>SUM(Sayfa1!G467:G490)</f>
        <v>1.430511474609375E-3</v>
      </c>
    </row>
    <row r="491" spans="1:9" x14ac:dyDescent="0.3">
      <c r="A491">
        <v>-118.5</v>
      </c>
      <c r="B491">
        <v>34.25</v>
      </c>
      <c r="C491">
        <v>2025</v>
      </c>
      <c r="D491">
        <v>1</v>
      </c>
      <c r="E491">
        <v>21</v>
      </c>
      <c r="F491">
        <f>Sayfa1!C491-273.15</f>
        <v>11.140283203125023</v>
      </c>
      <c r="G491">
        <v>19.017501831054688</v>
      </c>
      <c r="H491">
        <f>SQRT(Sayfa1!D491^2+Sayfa1!E491^2)</f>
        <v>2.8756430911040676</v>
      </c>
      <c r="I491">
        <f>SUM(Sayfa1!G468:G491)</f>
        <v>9.5367431640625E-4</v>
      </c>
    </row>
    <row r="492" spans="1:9" x14ac:dyDescent="0.3">
      <c r="A492">
        <v>-118.5</v>
      </c>
      <c r="B492">
        <v>34.25</v>
      </c>
      <c r="C492">
        <v>2025</v>
      </c>
      <c r="D492">
        <v>1</v>
      </c>
      <c r="E492">
        <v>21</v>
      </c>
      <c r="F492">
        <f>Sayfa1!C492-273.15</f>
        <v>10.854760742187523</v>
      </c>
      <c r="G492">
        <v>18.668544769287109</v>
      </c>
      <c r="H492">
        <f>SQRT(Sayfa1!D492^2+Sayfa1!E492^2)</f>
        <v>2.6943593276523612</v>
      </c>
      <c r="I492">
        <f>SUM(Sayfa1!G469:G492)</f>
        <v>4.76837158203125E-4</v>
      </c>
    </row>
    <row r="493" spans="1:9" x14ac:dyDescent="0.3">
      <c r="A493">
        <v>-118.5</v>
      </c>
      <c r="B493">
        <v>34.25</v>
      </c>
      <c r="C493">
        <v>2025</v>
      </c>
      <c r="D493">
        <v>1</v>
      </c>
      <c r="E493">
        <v>21</v>
      </c>
      <c r="F493">
        <f>Sayfa1!C493-273.15</f>
        <v>10.573815917968773</v>
      </c>
      <c r="G493">
        <v>20.356094360351563</v>
      </c>
      <c r="H493">
        <f>SQRT(Sayfa1!D493^2+Sayfa1!E493^2)</f>
        <v>2.6680068278021487</v>
      </c>
      <c r="I493">
        <f>SUM(Sayfa1!G470:G493)</f>
        <v>0</v>
      </c>
    </row>
    <row r="494" spans="1:9" x14ac:dyDescent="0.3">
      <c r="A494">
        <v>-118.5</v>
      </c>
      <c r="B494">
        <v>34.25</v>
      </c>
      <c r="C494">
        <v>2025</v>
      </c>
      <c r="D494">
        <v>1</v>
      </c>
      <c r="E494">
        <v>21</v>
      </c>
      <c r="F494">
        <f>Sayfa1!C494-273.15</f>
        <v>10.304345703125023</v>
      </c>
      <c r="G494">
        <v>22.852207183837891</v>
      </c>
      <c r="H494">
        <f>SQRT(Sayfa1!D494^2+Sayfa1!E494^2)</f>
        <v>2.6312644846338706</v>
      </c>
      <c r="I494">
        <f>SUM(Sayfa1!G471:G494)</f>
        <v>0</v>
      </c>
    </row>
    <row r="495" spans="1:9" x14ac:dyDescent="0.3">
      <c r="A495">
        <v>-118.5</v>
      </c>
      <c r="B495">
        <v>34.25</v>
      </c>
      <c r="C495">
        <v>2025</v>
      </c>
      <c r="D495">
        <v>1</v>
      </c>
      <c r="E495">
        <v>21</v>
      </c>
      <c r="F495">
        <f>Sayfa1!C495-273.15</f>
        <v>10.025659179687523</v>
      </c>
      <c r="G495">
        <v>25.54241943359375</v>
      </c>
      <c r="H495">
        <f>SQRT(Sayfa1!D495^2+Sayfa1!E495^2)</f>
        <v>2.7130086443498573</v>
      </c>
      <c r="I495">
        <f>SUM(Sayfa1!G472:G495)</f>
        <v>0</v>
      </c>
    </row>
    <row r="496" spans="1:9" x14ac:dyDescent="0.3">
      <c r="A496">
        <v>-118.5</v>
      </c>
      <c r="B496">
        <v>34.25</v>
      </c>
      <c r="C496">
        <v>2025</v>
      </c>
      <c r="D496">
        <v>1</v>
      </c>
      <c r="E496">
        <v>21</v>
      </c>
      <c r="F496">
        <f>Sayfa1!C496-273.15</f>
        <v>9.8760009765625227</v>
      </c>
      <c r="G496">
        <v>27.216728210449219</v>
      </c>
      <c r="H496">
        <f>SQRT(Sayfa1!D496^2+Sayfa1!E496^2)</f>
        <v>2.8256093496328454</v>
      </c>
      <c r="I496">
        <f>SUM(Sayfa1!G473:G496)</f>
        <v>0</v>
      </c>
    </row>
    <row r="497" spans="1:9" x14ac:dyDescent="0.3">
      <c r="A497">
        <v>-118.5</v>
      </c>
      <c r="B497">
        <v>34.25</v>
      </c>
      <c r="C497">
        <v>2025</v>
      </c>
      <c r="D497">
        <v>1</v>
      </c>
      <c r="E497">
        <v>21</v>
      </c>
      <c r="F497">
        <f>Sayfa1!C497-273.15</f>
        <v>9.8390136718750227</v>
      </c>
      <c r="G497">
        <v>27.190891265869141</v>
      </c>
      <c r="H497">
        <f>SQRT(Sayfa1!D497^2+Sayfa1!E497^2)</f>
        <v>2.9137697734785357</v>
      </c>
      <c r="I497">
        <f>SUM(Sayfa1!G474:G497)</f>
        <v>0</v>
      </c>
    </row>
    <row r="498" spans="1:9" x14ac:dyDescent="0.3">
      <c r="A498">
        <v>-118.5</v>
      </c>
      <c r="B498">
        <v>34.25</v>
      </c>
      <c r="C498">
        <v>2025</v>
      </c>
      <c r="D498">
        <v>1</v>
      </c>
      <c r="E498">
        <v>21</v>
      </c>
      <c r="F498">
        <f>Sayfa1!C498-273.15</f>
        <v>10.025903320312523</v>
      </c>
      <c r="G498">
        <v>25.321916580200195</v>
      </c>
      <c r="H498">
        <f>SQRT(Sayfa1!D498^2+Sayfa1!E498^2)</f>
        <v>2.6930493162237239</v>
      </c>
      <c r="I498">
        <f>SUM(Sayfa1!G475:G498)</f>
        <v>0</v>
      </c>
    </row>
    <row r="499" spans="1:9" x14ac:dyDescent="0.3">
      <c r="A499">
        <v>-118.5</v>
      </c>
      <c r="B499">
        <v>34.25</v>
      </c>
      <c r="C499">
        <v>2025</v>
      </c>
      <c r="D499">
        <v>1</v>
      </c>
      <c r="E499">
        <v>21</v>
      </c>
      <c r="F499">
        <f>Sayfa1!C499-273.15</f>
        <v>10.547875976562523</v>
      </c>
      <c r="G499">
        <v>19.112113952636719</v>
      </c>
      <c r="H499">
        <f>SQRT(Sayfa1!D499^2+Sayfa1!E499^2)</f>
        <v>2.4350612864872416</v>
      </c>
      <c r="I499">
        <f>SUM(Sayfa1!G476:G499)</f>
        <v>0</v>
      </c>
    </row>
    <row r="500" spans="1:9" x14ac:dyDescent="0.3">
      <c r="A500">
        <v>-118.5</v>
      </c>
      <c r="B500">
        <v>34.25</v>
      </c>
      <c r="C500">
        <v>2025</v>
      </c>
      <c r="D500">
        <v>1</v>
      </c>
      <c r="E500">
        <v>21</v>
      </c>
      <c r="F500">
        <f>Sayfa1!C500-273.15</f>
        <v>12.897485351562523</v>
      </c>
      <c r="G500">
        <v>11.210883140563965</v>
      </c>
      <c r="H500">
        <f>SQRT(Sayfa1!D500^2+Sayfa1!E500^2)</f>
        <v>3.0065730702618128</v>
      </c>
      <c r="I500">
        <f>SUM(Sayfa1!G477:G500)</f>
        <v>0</v>
      </c>
    </row>
    <row r="501" spans="1:9" x14ac:dyDescent="0.3">
      <c r="A501">
        <v>-118.5</v>
      </c>
      <c r="B501">
        <v>34.25</v>
      </c>
      <c r="C501">
        <v>2025</v>
      </c>
      <c r="D501">
        <v>1</v>
      </c>
      <c r="E501">
        <v>21</v>
      </c>
      <c r="F501">
        <f>Sayfa1!C501-273.15</f>
        <v>15.036828613281273</v>
      </c>
      <c r="G501">
        <v>8.0542354583740234</v>
      </c>
      <c r="H501">
        <f>SQRT(Sayfa1!D501^2+Sayfa1!E501^2)</f>
        <v>3.8566730961600966</v>
      </c>
      <c r="I501">
        <f>SUM(Sayfa1!G478:G501)</f>
        <v>0</v>
      </c>
    </row>
    <row r="502" spans="1:9" x14ac:dyDescent="0.3">
      <c r="A502">
        <v>-118.5</v>
      </c>
      <c r="B502">
        <v>34.25</v>
      </c>
      <c r="C502">
        <v>2025</v>
      </c>
      <c r="D502">
        <v>1</v>
      </c>
      <c r="E502">
        <v>21</v>
      </c>
      <c r="F502">
        <f>Sayfa1!C502-273.15</f>
        <v>16.417565917968773</v>
      </c>
      <c r="G502">
        <v>7.0963115692138672</v>
      </c>
      <c r="H502">
        <f>SQRT(Sayfa1!D502^2+Sayfa1!E502^2)</f>
        <v>4.5218382713369119</v>
      </c>
      <c r="I502">
        <f>SUM(Sayfa1!G479:G502)</f>
        <v>0</v>
      </c>
    </row>
    <row r="503" spans="1:9" x14ac:dyDescent="0.3">
      <c r="A503">
        <v>-118.5</v>
      </c>
      <c r="B503">
        <v>34.25</v>
      </c>
      <c r="C503">
        <v>2025</v>
      </c>
      <c r="D503">
        <v>1</v>
      </c>
      <c r="E503">
        <v>21</v>
      </c>
      <c r="F503">
        <f>Sayfa1!C503-273.15</f>
        <v>17.469628906250023</v>
      </c>
      <c r="G503">
        <v>6.3900384902954102</v>
      </c>
      <c r="H503">
        <f>SQRT(Sayfa1!D503^2+Sayfa1!E503^2)</f>
        <v>4.4098536108377964</v>
      </c>
      <c r="I503">
        <f>SUM(Sayfa1!G480:G503)</f>
        <v>0</v>
      </c>
    </row>
    <row r="504" spans="1:9" x14ac:dyDescent="0.3">
      <c r="A504">
        <v>-118.5</v>
      </c>
      <c r="B504">
        <v>34.25</v>
      </c>
      <c r="C504">
        <v>2025</v>
      </c>
      <c r="D504">
        <v>1</v>
      </c>
      <c r="E504">
        <v>21</v>
      </c>
      <c r="F504">
        <f>Sayfa1!C504-273.15</f>
        <v>17.555566406250023</v>
      </c>
      <c r="G504">
        <v>6.647608757019043</v>
      </c>
      <c r="H504">
        <f>SQRT(Sayfa1!D504^2+Sayfa1!E504^2)</f>
        <v>4.182951799851617</v>
      </c>
      <c r="I504">
        <f>SUM(Sayfa1!G481:G504)</f>
        <v>0</v>
      </c>
    </row>
    <row r="505" spans="1:9" x14ac:dyDescent="0.3">
      <c r="A505">
        <v>-118.5</v>
      </c>
      <c r="B505">
        <v>34.25</v>
      </c>
      <c r="C505">
        <v>2025</v>
      </c>
      <c r="D505">
        <v>1</v>
      </c>
      <c r="E505">
        <v>21</v>
      </c>
      <c r="F505">
        <f>Sayfa1!C505-273.15</f>
        <v>18.235253906250023</v>
      </c>
      <c r="G505">
        <v>5.9342899322509766</v>
      </c>
      <c r="H505">
        <f>SQRT(Sayfa1!D505^2+Sayfa1!E505^2)</f>
        <v>4.4447784511831498</v>
      </c>
      <c r="I505">
        <f>SUM(Sayfa1!G482:G505)</f>
        <v>0</v>
      </c>
    </row>
    <row r="506" spans="1:9" x14ac:dyDescent="0.3">
      <c r="A506">
        <v>-118.5</v>
      </c>
      <c r="B506">
        <v>34.25</v>
      </c>
      <c r="C506">
        <v>2025</v>
      </c>
      <c r="D506">
        <v>1</v>
      </c>
      <c r="E506">
        <v>22</v>
      </c>
      <c r="F506">
        <f>Sayfa1!C506-273.15</f>
        <v>18.439843750000023</v>
      </c>
      <c r="G506">
        <v>5.7611722946166992</v>
      </c>
      <c r="H506">
        <f>SQRT(Sayfa1!D506^2+Sayfa1!E506^2)</f>
        <v>3.4762339039213623</v>
      </c>
      <c r="I506">
        <f>SUM(Sayfa1!G483:G506)</f>
        <v>0</v>
      </c>
    </row>
    <row r="507" spans="1:9" x14ac:dyDescent="0.3">
      <c r="A507">
        <v>-118.5</v>
      </c>
      <c r="B507">
        <v>34.25</v>
      </c>
      <c r="C507">
        <v>2025</v>
      </c>
      <c r="D507">
        <v>1</v>
      </c>
      <c r="E507">
        <v>22</v>
      </c>
      <c r="F507">
        <f>Sayfa1!C507-273.15</f>
        <v>18.040063476562523</v>
      </c>
      <c r="G507">
        <v>6.3785696029663086</v>
      </c>
      <c r="H507">
        <f>SQRT(Sayfa1!D507^2+Sayfa1!E507^2)</f>
        <v>2.6657933188769696</v>
      </c>
      <c r="I507">
        <f>SUM(Sayfa1!G484:G507)</f>
        <v>0</v>
      </c>
    </row>
    <row r="508" spans="1:9" x14ac:dyDescent="0.3">
      <c r="A508">
        <v>-118.5</v>
      </c>
      <c r="B508">
        <v>34.25</v>
      </c>
      <c r="C508">
        <v>2025</v>
      </c>
      <c r="D508">
        <v>1</v>
      </c>
      <c r="E508">
        <v>22</v>
      </c>
      <c r="F508">
        <f>Sayfa1!C508-273.15</f>
        <v>17.358666992187523</v>
      </c>
      <c r="G508">
        <v>7.4081153869628906</v>
      </c>
      <c r="H508">
        <f>SQRT(Sayfa1!D508^2+Sayfa1!E508^2)</f>
        <v>2.5015590344417071</v>
      </c>
      <c r="I508">
        <f>SUM(Sayfa1!G485:G508)</f>
        <v>0</v>
      </c>
    </row>
    <row r="509" spans="1:9" x14ac:dyDescent="0.3">
      <c r="A509">
        <v>-118.5</v>
      </c>
      <c r="B509">
        <v>34.25</v>
      </c>
      <c r="C509">
        <v>2025</v>
      </c>
      <c r="D509">
        <v>1</v>
      </c>
      <c r="E509">
        <v>22</v>
      </c>
      <c r="F509">
        <f>Sayfa1!C509-273.15</f>
        <v>16.817651367187523</v>
      </c>
      <c r="G509">
        <v>9.873560905456543</v>
      </c>
      <c r="H509">
        <f>SQRT(Sayfa1!D509^2+Sayfa1!E509^2)</f>
        <v>2.480450405218217</v>
      </c>
      <c r="I509">
        <f>SUM(Sayfa1!G486:G509)</f>
        <v>0</v>
      </c>
    </row>
    <row r="510" spans="1:9" x14ac:dyDescent="0.3">
      <c r="A510">
        <v>-118.5</v>
      </c>
      <c r="B510">
        <v>34.25</v>
      </c>
      <c r="C510">
        <v>2025</v>
      </c>
      <c r="D510">
        <v>1</v>
      </c>
      <c r="E510">
        <v>22</v>
      </c>
      <c r="F510">
        <f>Sayfa1!C510-273.15</f>
        <v>16.494531250000023</v>
      </c>
      <c r="G510">
        <v>13.784895896911621</v>
      </c>
      <c r="H510">
        <f>SQRT(Sayfa1!D510^2+Sayfa1!E510^2)</f>
        <v>2.5587091023617323</v>
      </c>
      <c r="I510">
        <f>SUM(Sayfa1!G487:G510)</f>
        <v>0</v>
      </c>
    </row>
    <row r="511" spans="1:9" x14ac:dyDescent="0.3">
      <c r="A511">
        <v>-118.5</v>
      </c>
      <c r="B511">
        <v>34.25</v>
      </c>
      <c r="C511">
        <v>2025</v>
      </c>
      <c r="D511">
        <v>1</v>
      </c>
      <c r="E511">
        <v>22</v>
      </c>
      <c r="F511">
        <f>Sayfa1!C511-273.15</f>
        <v>16.377221679687523</v>
      </c>
      <c r="G511">
        <v>16.562736511230469</v>
      </c>
      <c r="H511">
        <f>SQRT(Sayfa1!D511^2+Sayfa1!E511^2)</f>
        <v>2.7204380408172999</v>
      </c>
      <c r="I511">
        <f>SUM(Sayfa1!G488:G511)</f>
        <v>0</v>
      </c>
    </row>
    <row r="512" spans="1:9" x14ac:dyDescent="0.3">
      <c r="A512">
        <v>-118.5</v>
      </c>
      <c r="B512">
        <v>34.25</v>
      </c>
      <c r="C512">
        <v>2025</v>
      </c>
      <c r="D512">
        <v>1</v>
      </c>
      <c r="E512">
        <v>22</v>
      </c>
      <c r="F512">
        <f>Sayfa1!C512-273.15</f>
        <v>16.350854492187523</v>
      </c>
      <c r="G512">
        <v>17.571453094482422</v>
      </c>
      <c r="H512">
        <f>SQRT(Sayfa1!D512^2+Sayfa1!E512^2)</f>
        <v>2.8139657517924341</v>
      </c>
      <c r="I512">
        <f>SUM(Sayfa1!G489:G512)</f>
        <v>0</v>
      </c>
    </row>
    <row r="513" spans="1:9" x14ac:dyDescent="0.3">
      <c r="A513">
        <v>-118.5</v>
      </c>
      <c r="B513">
        <v>34.25</v>
      </c>
      <c r="C513">
        <v>2025</v>
      </c>
      <c r="D513">
        <v>1</v>
      </c>
      <c r="E513">
        <v>22</v>
      </c>
      <c r="F513">
        <f>Sayfa1!C513-273.15</f>
        <v>16.366357421875023</v>
      </c>
      <c r="G513">
        <v>18.683330535888672</v>
      </c>
      <c r="H513">
        <f>SQRT(Sayfa1!D513^2+Sayfa1!E513^2)</f>
        <v>2.8610966573350396</v>
      </c>
      <c r="I513">
        <f>SUM(Sayfa1!G490:G513)</f>
        <v>0</v>
      </c>
    </row>
    <row r="514" spans="1:9" x14ac:dyDescent="0.3">
      <c r="A514">
        <v>-118.5</v>
      </c>
      <c r="B514">
        <v>34.25</v>
      </c>
      <c r="C514">
        <v>2025</v>
      </c>
      <c r="D514">
        <v>1</v>
      </c>
      <c r="E514">
        <v>22</v>
      </c>
      <c r="F514">
        <f>Sayfa1!C514-273.15</f>
        <v>16.408044433593773</v>
      </c>
      <c r="G514">
        <v>19.719459533691406</v>
      </c>
      <c r="H514">
        <f>SQRT(Sayfa1!D514^2+Sayfa1!E514^2)</f>
        <v>2.8765746358184083</v>
      </c>
      <c r="I514">
        <f>SUM(Sayfa1!G491:G514)</f>
        <v>0</v>
      </c>
    </row>
    <row r="515" spans="1:9" x14ac:dyDescent="0.3">
      <c r="A515">
        <v>-118.5</v>
      </c>
      <c r="B515">
        <v>34.25</v>
      </c>
      <c r="C515">
        <v>2025</v>
      </c>
      <c r="D515">
        <v>1</v>
      </c>
      <c r="E515">
        <v>22</v>
      </c>
      <c r="F515">
        <f>Sayfa1!C515-273.15</f>
        <v>16.461267089843773</v>
      </c>
      <c r="G515">
        <v>20.780557632446289</v>
      </c>
      <c r="H515">
        <f>SQRT(Sayfa1!D515^2+Sayfa1!E515^2)</f>
        <v>2.9359173866482511</v>
      </c>
      <c r="I515">
        <f>SUM(Sayfa1!G492:G515)</f>
        <v>0</v>
      </c>
    </row>
    <row r="516" spans="1:9" x14ac:dyDescent="0.3">
      <c r="A516">
        <v>-118.5</v>
      </c>
      <c r="B516">
        <v>34.25</v>
      </c>
      <c r="C516">
        <v>2025</v>
      </c>
      <c r="D516">
        <v>1</v>
      </c>
      <c r="E516">
        <v>22</v>
      </c>
      <c r="F516">
        <f>Sayfa1!C516-273.15</f>
        <v>16.527001953125023</v>
      </c>
      <c r="G516">
        <v>20.923313140869141</v>
      </c>
      <c r="H516">
        <f>SQRT(Sayfa1!D516^2+Sayfa1!E516^2)</f>
        <v>2.8830979195113389</v>
      </c>
      <c r="I516">
        <f>SUM(Sayfa1!G493:G516)</f>
        <v>0</v>
      </c>
    </row>
    <row r="517" spans="1:9" x14ac:dyDescent="0.3">
      <c r="A517">
        <v>-118.5</v>
      </c>
      <c r="B517">
        <v>34.25</v>
      </c>
      <c r="C517">
        <v>2025</v>
      </c>
      <c r="D517">
        <v>1</v>
      </c>
      <c r="E517">
        <v>22</v>
      </c>
      <c r="F517">
        <f>Sayfa1!C517-273.15</f>
        <v>16.730615234375023</v>
      </c>
      <c r="G517">
        <v>22.718215942382813</v>
      </c>
      <c r="H517">
        <f>SQRT(Sayfa1!D517^2+Sayfa1!E517^2)</f>
        <v>2.9638003611218866</v>
      </c>
      <c r="I517">
        <f>SUM(Sayfa1!G494:G517)</f>
        <v>0</v>
      </c>
    </row>
    <row r="518" spans="1:9" x14ac:dyDescent="0.3">
      <c r="A518">
        <v>-118.5</v>
      </c>
      <c r="B518">
        <v>34.25</v>
      </c>
      <c r="C518">
        <v>2025</v>
      </c>
      <c r="D518">
        <v>1</v>
      </c>
      <c r="E518">
        <v>22</v>
      </c>
      <c r="F518">
        <f>Sayfa1!C518-273.15</f>
        <v>17.068872070312523</v>
      </c>
      <c r="G518">
        <v>23.465160369873047</v>
      </c>
      <c r="H518">
        <f>SQRT(Sayfa1!D518^2+Sayfa1!E518^2)</f>
        <v>3.0119024965081995</v>
      </c>
      <c r="I518">
        <f>SUM(Sayfa1!G495:G518)</f>
        <v>0</v>
      </c>
    </row>
    <row r="519" spans="1:9" x14ac:dyDescent="0.3">
      <c r="A519">
        <v>-118.5</v>
      </c>
      <c r="B519">
        <v>34.25</v>
      </c>
      <c r="C519">
        <v>2025</v>
      </c>
      <c r="D519">
        <v>1</v>
      </c>
      <c r="E519">
        <v>22</v>
      </c>
      <c r="F519">
        <f>Sayfa1!C519-273.15</f>
        <v>17.182153320312523</v>
      </c>
      <c r="G519">
        <v>24.626026153564453</v>
      </c>
      <c r="H519">
        <f>SQRT(Sayfa1!D519^2+Sayfa1!E519^2)</f>
        <v>3.0862777068606451</v>
      </c>
      <c r="I519">
        <f>SUM(Sayfa1!G496:G519)</f>
        <v>0</v>
      </c>
    </row>
    <row r="520" spans="1:9" x14ac:dyDescent="0.3">
      <c r="A520">
        <v>-118.5</v>
      </c>
      <c r="B520">
        <v>34.25</v>
      </c>
      <c r="C520">
        <v>2025</v>
      </c>
      <c r="D520">
        <v>1</v>
      </c>
      <c r="E520">
        <v>22</v>
      </c>
      <c r="F520">
        <f>Sayfa1!C520-273.15</f>
        <v>17.086206054687523</v>
      </c>
      <c r="G520">
        <v>25.919937133789063</v>
      </c>
      <c r="H520">
        <f>SQRT(Sayfa1!D520^2+Sayfa1!E520^2)</f>
        <v>3.1151179495568639</v>
      </c>
      <c r="I520">
        <f>SUM(Sayfa1!G497:G520)</f>
        <v>0</v>
      </c>
    </row>
    <row r="521" spans="1:9" x14ac:dyDescent="0.3">
      <c r="A521">
        <v>-118.5</v>
      </c>
      <c r="B521">
        <v>34.25</v>
      </c>
      <c r="C521">
        <v>2025</v>
      </c>
      <c r="D521">
        <v>1</v>
      </c>
      <c r="E521">
        <v>22</v>
      </c>
      <c r="F521">
        <f>Sayfa1!C521-273.15</f>
        <v>17.056054687500023</v>
      </c>
      <c r="G521">
        <v>26.9705810546875</v>
      </c>
      <c r="H521">
        <f>SQRT(Sayfa1!D521^2+Sayfa1!E521^2)</f>
        <v>3.1292025256763711</v>
      </c>
      <c r="I521">
        <f>SUM(Sayfa1!G498:G521)</f>
        <v>0</v>
      </c>
    </row>
    <row r="522" spans="1:9" x14ac:dyDescent="0.3">
      <c r="A522">
        <v>-118.5</v>
      </c>
      <c r="B522">
        <v>34.25</v>
      </c>
      <c r="C522">
        <v>2025</v>
      </c>
      <c r="D522">
        <v>1</v>
      </c>
      <c r="E522">
        <v>22</v>
      </c>
      <c r="F522">
        <f>Sayfa1!C522-273.15</f>
        <v>17.183557128906273</v>
      </c>
      <c r="G522">
        <v>26.723758697509766</v>
      </c>
      <c r="H522">
        <f>SQRT(Sayfa1!D522^2+Sayfa1!E522^2)</f>
        <v>2.8749514495417854</v>
      </c>
      <c r="I522">
        <f>SUM(Sayfa1!G499:G522)</f>
        <v>0</v>
      </c>
    </row>
    <row r="523" spans="1:9" x14ac:dyDescent="0.3">
      <c r="A523">
        <v>-118.5</v>
      </c>
      <c r="B523">
        <v>34.25</v>
      </c>
      <c r="C523">
        <v>2025</v>
      </c>
      <c r="D523">
        <v>1</v>
      </c>
      <c r="E523">
        <v>22</v>
      </c>
      <c r="F523">
        <f>Sayfa1!C523-273.15</f>
        <v>17.431054687500023</v>
      </c>
      <c r="G523">
        <v>22.291790008544922</v>
      </c>
      <c r="H523">
        <f>SQRT(Sayfa1!D523^2+Sayfa1!E523^2)</f>
        <v>2.6460037085266417</v>
      </c>
      <c r="I523">
        <f>SUM(Sayfa1!G500:G523)</f>
        <v>0</v>
      </c>
    </row>
    <row r="524" spans="1:9" x14ac:dyDescent="0.3">
      <c r="A524">
        <v>-118.5</v>
      </c>
      <c r="B524">
        <v>34.25</v>
      </c>
      <c r="C524">
        <v>2025</v>
      </c>
      <c r="D524">
        <v>1</v>
      </c>
      <c r="E524">
        <v>22</v>
      </c>
      <c r="F524">
        <f>Sayfa1!C524-273.15</f>
        <v>17.545983886718773</v>
      </c>
      <c r="G524">
        <v>15.949540138244629</v>
      </c>
      <c r="H524">
        <f>SQRT(Sayfa1!D524^2+Sayfa1!E524^2)</f>
        <v>2.6131101447217389</v>
      </c>
      <c r="I524">
        <f>SUM(Sayfa1!G501:G524)</f>
        <v>0</v>
      </c>
    </row>
    <row r="525" spans="1:9" x14ac:dyDescent="0.3">
      <c r="A525">
        <v>-118.5</v>
      </c>
      <c r="B525">
        <v>34.25</v>
      </c>
      <c r="C525">
        <v>2025</v>
      </c>
      <c r="D525">
        <v>1</v>
      </c>
      <c r="E525">
        <v>22</v>
      </c>
      <c r="F525">
        <f>Sayfa1!C525-273.15</f>
        <v>19.856591796875023</v>
      </c>
      <c r="G525">
        <v>8.6651725769042969</v>
      </c>
      <c r="H525">
        <f>SQRT(Sayfa1!D525^2+Sayfa1!E525^2)</f>
        <v>3.2675227801044571</v>
      </c>
      <c r="I525">
        <f>SUM(Sayfa1!G502:G525)</f>
        <v>0</v>
      </c>
    </row>
    <row r="526" spans="1:9" x14ac:dyDescent="0.3">
      <c r="A526">
        <v>-118.5</v>
      </c>
      <c r="B526">
        <v>34.25</v>
      </c>
      <c r="C526">
        <v>2025</v>
      </c>
      <c r="D526">
        <v>1</v>
      </c>
      <c r="E526">
        <v>22</v>
      </c>
      <c r="F526">
        <f>Sayfa1!C526-273.15</f>
        <v>21.679772949218773</v>
      </c>
      <c r="G526">
        <v>5.8699779510498047</v>
      </c>
      <c r="H526">
        <f>SQRT(Sayfa1!D526^2+Sayfa1!E526^2)</f>
        <v>4.1492979052951169</v>
      </c>
      <c r="I526">
        <f>SUM(Sayfa1!G503:G526)</f>
        <v>0</v>
      </c>
    </row>
    <row r="527" spans="1:9" x14ac:dyDescent="0.3">
      <c r="A527">
        <v>-118.5</v>
      </c>
      <c r="B527">
        <v>34.25</v>
      </c>
      <c r="C527">
        <v>2025</v>
      </c>
      <c r="D527">
        <v>1</v>
      </c>
      <c r="E527">
        <v>22</v>
      </c>
      <c r="F527">
        <f>Sayfa1!C527-273.15</f>
        <v>22.650415039062523</v>
      </c>
      <c r="G527">
        <v>4.7674350738525391</v>
      </c>
      <c r="H527">
        <f>SQRT(Sayfa1!D527^2+Sayfa1!E527^2)</f>
        <v>4.7372073045754224</v>
      </c>
      <c r="I527">
        <f>SUM(Sayfa1!G504:G527)</f>
        <v>0</v>
      </c>
    </row>
    <row r="528" spans="1:9" x14ac:dyDescent="0.3">
      <c r="A528">
        <v>-118.5</v>
      </c>
      <c r="B528">
        <v>34.25</v>
      </c>
      <c r="C528">
        <v>2025</v>
      </c>
      <c r="D528">
        <v>1</v>
      </c>
      <c r="E528">
        <v>22</v>
      </c>
      <c r="F528">
        <f>Sayfa1!C528-273.15</f>
        <v>23.633081054687523</v>
      </c>
      <c r="G528">
        <v>4.1201810836791992</v>
      </c>
      <c r="H528">
        <f>SQRT(Sayfa1!D528^2+Sayfa1!E528^2)</f>
        <v>3.3859557259675976</v>
      </c>
      <c r="I528">
        <f>SUM(Sayfa1!G505:G528)</f>
        <v>0</v>
      </c>
    </row>
    <row r="529" spans="1:9" x14ac:dyDescent="0.3">
      <c r="A529">
        <v>-118.5</v>
      </c>
      <c r="B529">
        <v>34.25</v>
      </c>
      <c r="C529">
        <v>2025</v>
      </c>
      <c r="D529">
        <v>1</v>
      </c>
      <c r="E529">
        <v>22</v>
      </c>
      <c r="F529">
        <f>Sayfa1!C529-273.15</f>
        <v>23.978173828125023</v>
      </c>
      <c r="G529">
        <v>3.9508447647094727</v>
      </c>
      <c r="H529">
        <f>SQRT(Sayfa1!D529^2+Sayfa1!E529^2)</f>
        <v>3.3154954021722309</v>
      </c>
      <c r="I529">
        <f>SUM(Sayfa1!G506:G529)</f>
        <v>0</v>
      </c>
    </row>
    <row r="530" spans="1:9" x14ac:dyDescent="0.3">
      <c r="A530">
        <v>-118.5</v>
      </c>
      <c r="B530">
        <v>34.25</v>
      </c>
      <c r="C530">
        <v>2025</v>
      </c>
      <c r="D530">
        <v>1</v>
      </c>
      <c r="E530">
        <v>23</v>
      </c>
      <c r="F530">
        <f>Sayfa1!C530-273.15</f>
        <v>23.923974609375023</v>
      </c>
      <c r="G530">
        <v>4.7388505935668945</v>
      </c>
      <c r="H530">
        <f>SQRT(Sayfa1!D530^2+Sayfa1!E530^2)</f>
        <v>2.8910601026263305</v>
      </c>
      <c r="I530">
        <f>SUM(Sayfa1!G507:G530)</f>
        <v>0</v>
      </c>
    </row>
    <row r="531" spans="1:9" x14ac:dyDescent="0.3">
      <c r="A531">
        <v>-118.5</v>
      </c>
      <c r="B531">
        <v>34.25</v>
      </c>
      <c r="C531">
        <v>2025</v>
      </c>
      <c r="D531">
        <v>1</v>
      </c>
      <c r="E531">
        <v>23</v>
      </c>
      <c r="F531">
        <f>Sayfa1!C531-273.15</f>
        <v>23.456445312500023</v>
      </c>
      <c r="G531">
        <v>6.0112009048461914</v>
      </c>
      <c r="H531">
        <f>SQRT(Sayfa1!D531^2+Sayfa1!E531^2)</f>
        <v>2.5945083975916234</v>
      </c>
      <c r="I531">
        <f>SUM(Sayfa1!G508:G531)</f>
        <v>0</v>
      </c>
    </row>
    <row r="532" spans="1:9" x14ac:dyDescent="0.3">
      <c r="A532">
        <v>-118.5</v>
      </c>
      <c r="B532">
        <v>34.25</v>
      </c>
      <c r="C532">
        <v>2025</v>
      </c>
      <c r="D532">
        <v>1</v>
      </c>
      <c r="E532">
        <v>23</v>
      </c>
      <c r="F532">
        <f>Sayfa1!C532-273.15</f>
        <v>22.741967773437523</v>
      </c>
      <c r="G532">
        <v>7.1454219818115234</v>
      </c>
      <c r="H532">
        <f>SQRT(Sayfa1!D532^2+Sayfa1!E532^2)</f>
        <v>2.6999184306979669</v>
      </c>
      <c r="I532">
        <f>SUM(Sayfa1!G509:G532)</f>
        <v>0</v>
      </c>
    </row>
    <row r="533" spans="1:9" x14ac:dyDescent="0.3">
      <c r="A533">
        <v>-118.5</v>
      </c>
      <c r="B533">
        <v>34.25</v>
      </c>
      <c r="C533">
        <v>2025</v>
      </c>
      <c r="D533">
        <v>1</v>
      </c>
      <c r="E533">
        <v>23</v>
      </c>
      <c r="F533">
        <f>Sayfa1!C533-273.15</f>
        <v>22.170922851562523</v>
      </c>
      <c r="G533">
        <v>9.0014190673828125</v>
      </c>
      <c r="H533">
        <f>SQRT(Sayfa1!D533^2+Sayfa1!E533^2)</f>
        <v>2.7727591536689271</v>
      </c>
      <c r="I533">
        <f>SUM(Sayfa1!G510:G533)</f>
        <v>0</v>
      </c>
    </row>
    <row r="534" spans="1:9" x14ac:dyDescent="0.3">
      <c r="A534">
        <v>-118.5</v>
      </c>
      <c r="B534">
        <v>34.25</v>
      </c>
      <c r="C534">
        <v>2025</v>
      </c>
      <c r="D534">
        <v>1</v>
      </c>
      <c r="E534">
        <v>23</v>
      </c>
      <c r="F534">
        <f>Sayfa1!C534-273.15</f>
        <v>21.920617675781273</v>
      </c>
      <c r="G534">
        <v>11.399291038513184</v>
      </c>
      <c r="H534">
        <f>SQRT(Sayfa1!D534^2+Sayfa1!E534^2)</f>
        <v>2.8604876558563004</v>
      </c>
      <c r="I534">
        <f>SUM(Sayfa1!G511:G534)</f>
        <v>0</v>
      </c>
    </row>
    <row r="535" spans="1:9" x14ac:dyDescent="0.3">
      <c r="A535">
        <v>-118.5</v>
      </c>
      <c r="B535">
        <v>34.25</v>
      </c>
      <c r="C535">
        <v>2025</v>
      </c>
      <c r="D535">
        <v>1</v>
      </c>
      <c r="E535">
        <v>23</v>
      </c>
      <c r="F535">
        <f>Sayfa1!C535-273.15</f>
        <v>21.882775878906273</v>
      </c>
      <c r="G535">
        <v>14.259160041809082</v>
      </c>
      <c r="H535">
        <f>SQRT(Sayfa1!D535^2+Sayfa1!E535^2)</f>
        <v>2.9092498054070495</v>
      </c>
      <c r="I535">
        <f>SUM(Sayfa1!G512:G535)</f>
        <v>0</v>
      </c>
    </row>
    <row r="536" spans="1:9" x14ac:dyDescent="0.3">
      <c r="A536">
        <v>-118.5</v>
      </c>
      <c r="B536">
        <v>34.25</v>
      </c>
      <c r="C536">
        <v>2025</v>
      </c>
      <c r="D536">
        <v>1</v>
      </c>
      <c r="E536">
        <v>23</v>
      </c>
      <c r="F536">
        <f>Sayfa1!C536-273.15</f>
        <v>21.770288085937523</v>
      </c>
      <c r="G536">
        <v>17.112964630126953</v>
      </c>
      <c r="H536">
        <f>SQRT(Sayfa1!D536^2+Sayfa1!E536^2)</f>
        <v>2.9529308516712467</v>
      </c>
      <c r="I536">
        <f>SUM(Sayfa1!G513:G536)</f>
        <v>0</v>
      </c>
    </row>
    <row r="537" spans="1:9" x14ac:dyDescent="0.3">
      <c r="A537">
        <v>-118.5</v>
      </c>
      <c r="B537">
        <v>34.25</v>
      </c>
      <c r="C537">
        <v>2025</v>
      </c>
      <c r="D537">
        <v>1</v>
      </c>
      <c r="E537">
        <v>23</v>
      </c>
      <c r="F537">
        <f>Sayfa1!C537-273.15</f>
        <v>21.581384277343773</v>
      </c>
      <c r="G537">
        <v>18.576887130737305</v>
      </c>
      <c r="H537">
        <f>SQRT(Sayfa1!D537^2+Sayfa1!E537^2)</f>
        <v>2.9921833624154437</v>
      </c>
      <c r="I537">
        <f>SUM(Sayfa1!G514:G537)</f>
        <v>0</v>
      </c>
    </row>
    <row r="538" spans="1:9" x14ac:dyDescent="0.3">
      <c r="A538">
        <v>-118.5</v>
      </c>
      <c r="B538">
        <v>34.25</v>
      </c>
      <c r="C538">
        <v>2025</v>
      </c>
      <c r="D538">
        <v>1</v>
      </c>
      <c r="E538">
        <v>23</v>
      </c>
      <c r="F538">
        <f>Sayfa1!C538-273.15</f>
        <v>21.317346191406273</v>
      </c>
      <c r="G538">
        <v>18.634197235107422</v>
      </c>
      <c r="H538">
        <f>SQRT(Sayfa1!D538^2+Sayfa1!E538^2)</f>
        <v>3.0883929311863589</v>
      </c>
      <c r="I538">
        <f>SUM(Sayfa1!G515:G538)</f>
        <v>0</v>
      </c>
    </row>
    <row r="539" spans="1:9" x14ac:dyDescent="0.3">
      <c r="A539">
        <v>-118.5</v>
      </c>
      <c r="B539">
        <v>34.25</v>
      </c>
      <c r="C539">
        <v>2025</v>
      </c>
      <c r="D539">
        <v>1</v>
      </c>
      <c r="E539">
        <v>23</v>
      </c>
      <c r="F539">
        <f>Sayfa1!C539-273.15</f>
        <v>20.912255859375023</v>
      </c>
      <c r="G539">
        <v>18.051776885986328</v>
      </c>
      <c r="H539">
        <f>SQRT(Sayfa1!D539^2+Sayfa1!E539^2)</f>
        <v>3.0918101734341072</v>
      </c>
      <c r="I539">
        <f>SUM(Sayfa1!G516:G539)</f>
        <v>0</v>
      </c>
    </row>
    <row r="540" spans="1:9" x14ac:dyDescent="0.3">
      <c r="A540">
        <v>-118.5</v>
      </c>
      <c r="B540">
        <v>34.25</v>
      </c>
      <c r="C540">
        <v>2025</v>
      </c>
      <c r="D540">
        <v>1</v>
      </c>
      <c r="E540">
        <v>23</v>
      </c>
      <c r="F540">
        <f>Sayfa1!C540-273.15</f>
        <v>20.814416503906273</v>
      </c>
      <c r="G540">
        <v>16.238323211669922</v>
      </c>
      <c r="H540">
        <f>SQRT(Sayfa1!D540^2+Sayfa1!E540^2)</f>
        <v>2.9424931388862752</v>
      </c>
      <c r="I540">
        <f>SUM(Sayfa1!G517:G540)</f>
        <v>0</v>
      </c>
    </row>
    <row r="541" spans="1:9" x14ac:dyDescent="0.3">
      <c r="A541">
        <v>-118.5</v>
      </c>
      <c r="B541">
        <v>34.25</v>
      </c>
      <c r="C541">
        <v>2025</v>
      </c>
      <c r="D541">
        <v>1</v>
      </c>
      <c r="E541">
        <v>23</v>
      </c>
      <c r="F541">
        <f>Sayfa1!C541-273.15</f>
        <v>20.336022949218773</v>
      </c>
      <c r="G541">
        <v>16.128437042236328</v>
      </c>
      <c r="H541">
        <f>SQRT(Sayfa1!D541^2+Sayfa1!E541^2)</f>
        <v>2.9805272801709202</v>
      </c>
      <c r="I541">
        <f>SUM(Sayfa1!G518:G541)</f>
        <v>0</v>
      </c>
    </row>
    <row r="542" spans="1:9" x14ac:dyDescent="0.3">
      <c r="A542">
        <v>-118.5</v>
      </c>
      <c r="B542">
        <v>34.25</v>
      </c>
      <c r="C542">
        <v>2025</v>
      </c>
      <c r="D542">
        <v>1</v>
      </c>
      <c r="E542">
        <v>23</v>
      </c>
      <c r="F542">
        <f>Sayfa1!C542-273.15</f>
        <v>20.176049804687523</v>
      </c>
      <c r="G542">
        <v>15.201188087463379</v>
      </c>
      <c r="H542">
        <f>SQRT(Sayfa1!D542^2+Sayfa1!E542^2)</f>
        <v>2.9407846391527319</v>
      </c>
      <c r="I542">
        <f>SUM(Sayfa1!G519:G542)</f>
        <v>0</v>
      </c>
    </row>
    <row r="543" spans="1:9" x14ac:dyDescent="0.3">
      <c r="A543">
        <v>-118.5</v>
      </c>
      <c r="B543">
        <v>34.25</v>
      </c>
      <c r="C543">
        <v>2025</v>
      </c>
      <c r="D543">
        <v>1</v>
      </c>
      <c r="E543">
        <v>23</v>
      </c>
      <c r="F543">
        <f>Sayfa1!C543-273.15</f>
        <v>20.163232421875023</v>
      </c>
      <c r="G543">
        <v>15.541362762451172</v>
      </c>
      <c r="H543">
        <f>SQRT(Sayfa1!D543^2+Sayfa1!E543^2)</f>
        <v>2.8792682487481889</v>
      </c>
      <c r="I543">
        <f>SUM(Sayfa1!G520:G543)</f>
        <v>0</v>
      </c>
    </row>
    <row r="544" spans="1:9" x14ac:dyDescent="0.3">
      <c r="A544">
        <v>-118.5</v>
      </c>
      <c r="B544">
        <v>34.25</v>
      </c>
      <c r="C544">
        <v>2025</v>
      </c>
      <c r="D544">
        <v>1</v>
      </c>
      <c r="E544">
        <v>23</v>
      </c>
      <c r="F544">
        <f>Sayfa1!C544-273.15</f>
        <v>20.004907226562523</v>
      </c>
      <c r="G544">
        <v>16.565591812133789</v>
      </c>
      <c r="H544">
        <f>SQRT(Sayfa1!D544^2+Sayfa1!E544^2)</f>
        <v>2.9203723847785312</v>
      </c>
      <c r="I544">
        <f>SUM(Sayfa1!G521:G544)</f>
        <v>0</v>
      </c>
    </row>
    <row r="545" spans="1:9" x14ac:dyDescent="0.3">
      <c r="A545">
        <v>-118.5</v>
      </c>
      <c r="B545">
        <v>34.25</v>
      </c>
      <c r="C545">
        <v>2025</v>
      </c>
      <c r="D545">
        <v>1</v>
      </c>
      <c r="E545">
        <v>23</v>
      </c>
      <c r="F545">
        <f>Sayfa1!C545-273.15</f>
        <v>19.532617187500023</v>
      </c>
      <c r="G545">
        <v>16.998645782470703</v>
      </c>
      <c r="H545">
        <f>SQRT(Sayfa1!D545^2+Sayfa1!E545^2)</f>
        <v>3.0606862111696813</v>
      </c>
      <c r="I545">
        <f>SUM(Sayfa1!G522:G545)</f>
        <v>0</v>
      </c>
    </row>
    <row r="546" spans="1:9" x14ac:dyDescent="0.3">
      <c r="A546">
        <v>-118.5</v>
      </c>
      <c r="B546">
        <v>34.25</v>
      </c>
      <c r="C546">
        <v>2025</v>
      </c>
      <c r="D546">
        <v>1</v>
      </c>
      <c r="E546">
        <v>23</v>
      </c>
      <c r="F546">
        <f>Sayfa1!C546-273.15</f>
        <v>18.796411132812523</v>
      </c>
      <c r="G546">
        <v>15.720818519592285</v>
      </c>
      <c r="H546">
        <f>SQRT(Sayfa1!D546^2+Sayfa1!E546^2)</f>
        <v>2.8360386456364686</v>
      </c>
      <c r="I546">
        <f>SUM(Sayfa1!G523:G546)</f>
        <v>0</v>
      </c>
    </row>
    <row r="547" spans="1:9" x14ac:dyDescent="0.3">
      <c r="A547">
        <v>-118.5</v>
      </c>
      <c r="B547">
        <v>34.25</v>
      </c>
      <c r="C547">
        <v>2025</v>
      </c>
      <c r="D547">
        <v>1</v>
      </c>
      <c r="E547">
        <v>23</v>
      </c>
      <c r="F547">
        <f>Sayfa1!C547-273.15</f>
        <v>18.362817382812523</v>
      </c>
      <c r="G547">
        <v>11.680915832519531</v>
      </c>
      <c r="H547">
        <f>SQRT(Sayfa1!D547^2+Sayfa1!E547^2)</f>
        <v>2.414030028801109</v>
      </c>
      <c r="I547">
        <f>SUM(Sayfa1!G524:G547)</f>
        <v>0</v>
      </c>
    </row>
    <row r="548" spans="1:9" x14ac:dyDescent="0.3">
      <c r="A548">
        <v>-118.5</v>
      </c>
      <c r="B548">
        <v>34.25</v>
      </c>
      <c r="C548">
        <v>2025</v>
      </c>
      <c r="D548">
        <v>1</v>
      </c>
      <c r="E548">
        <v>23</v>
      </c>
      <c r="F548">
        <f>Sayfa1!C548-273.15</f>
        <v>18.989465332031273</v>
      </c>
      <c r="G548">
        <v>7.6348953247070313</v>
      </c>
      <c r="H548">
        <f>SQRT(Sayfa1!D548^2+Sayfa1!E548^2)</f>
        <v>3.3004005283804685</v>
      </c>
      <c r="I548">
        <f>SUM(Sayfa1!G525:G548)</f>
        <v>0</v>
      </c>
    </row>
    <row r="549" spans="1:9" x14ac:dyDescent="0.3">
      <c r="A549">
        <v>-118.5</v>
      </c>
      <c r="B549">
        <v>34.25</v>
      </c>
      <c r="C549">
        <v>2025</v>
      </c>
      <c r="D549">
        <v>1</v>
      </c>
      <c r="E549">
        <v>23</v>
      </c>
      <c r="F549">
        <f>Sayfa1!C549-273.15</f>
        <v>20.400781250000023</v>
      </c>
      <c r="G549">
        <v>5.3898239135742188</v>
      </c>
      <c r="H549">
        <f>SQRT(Sayfa1!D549^2+Sayfa1!E549^2)</f>
        <v>4.6266748710054273</v>
      </c>
      <c r="I549">
        <f>SUM(Sayfa1!G526:G549)</f>
        <v>0</v>
      </c>
    </row>
    <row r="550" spans="1:9" x14ac:dyDescent="0.3">
      <c r="A550">
        <v>-118.5</v>
      </c>
      <c r="B550">
        <v>34.25</v>
      </c>
      <c r="C550">
        <v>2025</v>
      </c>
      <c r="D550">
        <v>1</v>
      </c>
      <c r="E550">
        <v>23</v>
      </c>
      <c r="F550">
        <f>Sayfa1!C550-273.15</f>
        <v>21.246240234375023</v>
      </c>
      <c r="G550">
        <v>4.7895727157592773</v>
      </c>
      <c r="H550">
        <f>SQRT(Sayfa1!D550^2+Sayfa1!E550^2)</f>
        <v>4.5216700335032076</v>
      </c>
      <c r="I550">
        <f>SUM(Sayfa1!G527:G550)</f>
        <v>0</v>
      </c>
    </row>
    <row r="551" spans="1:9" x14ac:dyDescent="0.3">
      <c r="A551">
        <v>-118.5</v>
      </c>
      <c r="B551">
        <v>34.25</v>
      </c>
      <c r="C551">
        <v>2025</v>
      </c>
      <c r="D551">
        <v>1</v>
      </c>
      <c r="E551">
        <v>23</v>
      </c>
      <c r="F551">
        <f>Sayfa1!C551-273.15</f>
        <v>21.791650390625023</v>
      </c>
      <c r="G551">
        <v>4.462651252746582</v>
      </c>
      <c r="H551">
        <f>SQRT(Sayfa1!D551^2+Sayfa1!E551^2)</f>
        <v>4.41905265237782</v>
      </c>
      <c r="I551">
        <f>SUM(Sayfa1!G528:G551)</f>
        <v>0</v>
      </c>
    </row>
    <row r="552" spans="1:9" x14ac:dyDescent="0.3">
      <c r="A552">
        <v>-118.5</v>
      </c>
      <c r="B552">
        <v>34.25</v>
      </c>
      <c r="C552">
        <v>2025</v>
      </c>
      <c r="D552">
        <v>1</v>
      </c>
      <c r="E552">
        <v>23</v>
      </c>
      <c r="F552">
        <f>Sayfa1!C552-273.15</f>
        <v>22.524072265625023</v>
      </c>
      <c r="G552">
        <v>4.8304386138916016</v>
      </c>
      <c r="H552">
        <f>SQRT(Sayfa1!D552^2+Sayfa1!E552^2)</f>
        <v>3.9612756456996867</v>
      </c>
      <c r="I552">
        <f>SUM(Sayfa1!G529:G552)</f>
        <v>0</v>
      </c>
    </row>
    <row r="553" spans="1:9" x14ac:dyDescent="0.3">
      <c r="A553">
        <v>-118.5</v>
      </c>
      <c r="B553">
        <v>34.25</v>
      </c>
      <c r="C553">
        <v>2025</v>
      </c>
      <c r="D553">
        <v>1</v>
      </c>
      <c r="E553">
        <v>23</v>
      </c>
      <c r="F553">
        <f>Sayfa1!C553-273.15</f>
        <v>22.713525390625023</v>
      </c>
      <c r="G553">
        <v>4.8628625869750977</v>
      </c>
      <c r="H553">
        <f>SQRT(Sayfa1!D553^2+Sayfa1!E553^2)</f>
        <v>3.89053511817957</v>
      </c>
      <c r="I553">
        <f>SUM(Sayfa1!G530:G553)</f>
        <v>0</v>
      </c>
    </row>
    <row r="554" spans="1:9" x14ac:dyDescent="0.3">
      <c r="A554">
        <v>-118.5</v>
      </c>
      <c r="B554">
        <v>34.25</v>
      </c>
      <c r="C554">
        <v>2025</v>
      </c>
      <c r="D554">
        <v>1</v>
      </c>
      <c r="E554">
        <v>24</v>
      </c>
      <c r="F554">
        <f>Sayfa1!C554-273.15</f>
        <v>22.491357421875023</v>
      </c>
      <c r="G554">
        <v>5.4862689971923828</v>
      </c>
      <c r="H554">
        <f>SQRT(Sayfa1!D554^2+Sayfa1!E554^2)</f>
        <v>3.432427478461523</v>
      </c>
      <c r="I554">
        <f>SUM(Sayfa1!G531:G554)</f>
        <v>0</v>
      </c>
    </row>
    <row r="555" spans="1:9" x14ac:dyDescent="0.3">
      <c r="A555">
        <v>-118.5</v>
      </c>
      <c r="B555">
        <v>34.25</v>
      </c>
      <c r="C555">
        <v>2025</v>
      </c>
      <c r="D555">
        <v>1</v>
      </c>
      <c r="E555">
        <v>24</v>
      </c>
      <c r="F555">
        <f>Sayfa1!C555-273.15</f>
        <v>21.486962890625023</v>
      </c>
      <c r="G555">
        <v>6.467315673828125</v>
      </c>
      <c r="H555">
        <f>SQRT(Sayfa1!D555^2+Sayfa1!E555^2)</f>
        <v>3.3745684818345034</v>
      </c>
      <c r="I555">
        <f>SUM(Sayfa1!G532:G555)</f>
        <v>0</v>
      </c>
    </row>
    <row r="556" spans="1:9" x14ac:dyDescent="0.3">
      <c r="A556">
        <v>-118.5</v>
      </c>
      <c r="B556">
        <v>34.25</v>
      </c>
      <c r="C556">
        <v>2025</v>
      </c>
      <c r="D556">
        <v>1</v>
      </c>
      <c r="E556">
        <v>24</v>
      </c>
      <c r="F556">
        <f>Sayfa1!C556-273.15</f>
        <v>20.190454101562523</v>
      </c>
      <c r="G556">
        <v>6.9814453125</v>
      </c>
      <c r="H556">
        <f>SQRT(Sayfa1!D556^2+Sayfa1!E556^2)</f>
        <v>3.1131871525500521</v>
      </c>
      <c r="I556">
        <f>SUM(Sayfa1!G533:G556)</f>
        <v>0</v>
      </c>
    </row>
    <row r="557" spans="1:9" x14ac:dyDescent="0.3">
      <c r="A557">
        <v>-118.5</v>
      </c>
      <c r="B557">
        <v>34.25</v>
      </c>
      <c r="C557">
        <v>2025</v>
      </c>
      <c r="D557">
        <v>1</v>
      </c>
      <c r="E557">
        <v>24</v>
      </c>
      <c r="F557">
        <f>Sayfa1!C557-273.15</f>
        <v>19.256005859375023</v>
      </c>
      <c r="G557">
        <v>8.0460567474365234</v>
      </c>
      <c r="H557">
        <f>SQRT(Sayfa1!D557^2+Sayfa1!E557^2)</f>
        <v>2.9357755538073285</v>
      </c>
      <c r="I557">
        <f>SUM(Sayfa1!G534:G557)</f>
        <v>0</v>
      </c>
    </row>
    <row r="558" spans="1:9" x14ac:dyDescent="0.3">
      <c r="A558">
        <v>-118.5</v>
      </c>
      <c r="B558">
        <v>34.25</v>
      </c>
      <c r="C558">
        <v>2025</v>
      </c>
      <c r="D558">
        <v>1</v>
      </c>
      <c r="E558">
        <v>24</v>
      </c>
      <c r="F558">
        <f>Sayfa1!C558-273.15</f>
        <v>18.647851562500023</v>
      </c>
      <c r="G558">
        <v>9.9269809722900391</v>
      </c>
      <c r="H558">
        <f>SQRT(Sayfa1!D558^2+Sayfa1!E558^2)</f>
        <v>2.7384620514049161</v>
      </c>
      <c r="I558">
        <f>SUM(Sayfa1!G535:G558)</f>
        <v>0</v>
      </c>
    </row>
    <row r="559" spans="1:9" x14ac:dyDescent="0.3">
      <c r="A559">
        <v>-118.5</v>
      </c>
      <c r="B559">
        <v>34.25</v>
      </c>
      <c r="C559">
        <v>2025</v>
      </c>
      <c r="D559">
        <v>1</v>
      </c>
      <c r="E559">
        <v>24</v>
      </c>
      <c r="F559">
        <f>Sayfa1!C559-273.15</f>
        <v>18.185327148437523</v>
      </c>
      <c r="G559">
        <v>12.274374008178711</v>
      </c>
      <c r="H559">
        <f>SQRT(Sayfa1!D559^2+Sayfa1!E559^2)</f>
        <v>2.7448117077457805</v>
      </c>
      <c r="I559">
        <f>SUM(Sayfa1!G536:G559)</f>
        <v>0</v>
      </c>
    </row>
    <row r="560" spans="1:9" x14ac:dyDescent="0.3">
      <c r="A560">
        <v>-118.5</v>
      </c>
      <c r="B560">
        <v>34.25</v>
      </c>
      <c r="C560">
        <v>2025</v>
      </c>
      <c r="D560">
        <v>1</v>
      </c>
      <c r="E560">
        <v>24</v>
      </c>
      <c r="F560">
        <f>Sayfa1!C560-273.15</f>
        <v>17.880761718750023</v>
      </c>
      <c r="G560">
        <v>14.568960189819336</v>
      </c>
      <c r="H560">
        <f>SQRT(Sayfa1!D560^2+Sayfa1!E560^2)</f>
        <v>2.7250716362472902</v>
      </c>
      <c r="I560">
        <f>SUM(Sayfa1!G537:G560)</f>
        <v>0</v>
      </c>
    </row>
    <row r="561" spans="1:9" x14ac:dyDescent="0.3">
      <c r="A561">
        <v>-118.5</v>
      </c>
      <c r="B561">
        <v>34.25</v>
      </c>
      <c r="C561">
        <v>2025</v>
      </c>
      <c r="D561">
        <v>1</v>
      </c>
      <c r="E561">
        <v>24</v>
      </c>
      <c r="F561">
        <f>Sayfa1!C561-273.15</f>
        <v>17.540673828125023</v>
      </c>
      <c r="G561">
        <v>16.678869247436523</v>
      </c>
      <c r="H561">
        <f>SQRT(Sayfa1!D561^2+Sayfa1!E561^2)</f>
        <v>2.7709223992887395</v>
      </c>
      <c r="I561">
        <f>SUM(Sayfa1!G538:G561)</f>
        <v>0</v>
      </c>
    </row>
    <row r="562" spans="1:9" x14ac:dyDescent="0.3">
      <c r="A562">
        <v>-118.5</v>
      </c>
      <c r="B562">
        <v>34.25</v>
      </c>
      <c r="C562">
        <v>2025</v>
      </c>
      <c r="D562">
        <v>1</v>
      </c>
      <c r="E562">
        <v>24</v>
      </c>
      <c r="F562">
        <f>Sayfa1!C562-273.15</f>
        <v>17.175195312500023</v>
      </c>
      <c r="G562">
        <v>18.511878967285156</v>
      </c>
      <c r="H562">
        <f>SQRT(Sayfa1!D562^2+Sayfa1!E562^2)</f>
        <v>2.789549997552621</v>
      </c>
      <c r="I562">
        <f>SUM(Sayfa1!G539:G562)</f>
        <v>0</v>
      </c>
    </row>
    <row r="563" spans="1:9" x14ac:dyDescent="0.3">
      <c r="A563">
        <v>-118.5</v>
      </c>
      <c r="B563">
        <v>34.25</v>
      </c>
      <c r="C563">
        <v>2025</v>
      </c>
      <c r="D563">
        <v>1</v>
      </c>
      <c r="E563">
        <v>24</v>
      </c>
      <c r="F563">
        <f>Sayfa1!C563-273.15</f>
        <v>16.750390625000023</v>
      </c>
      <c r="G563">
        <v>20.270778656005859</v>
      </c>
      <c r="H563">
        <f>SQRT(Sayfa1!D563^2+Sayfa1!E563^2)</f>
        <v>2.812962193393763</v>
      </c>
      <c r="I563">
        <f>SUM(Sayfa1!G540:G563)</f>
        <v>0</v>
      </c>
    </row>
    <row r="564" spans="1:9" x14ac:dyDescent="0.3">
      <c r="A564">
        <v>-118.5</v>
      </c>
      <c r="B564">
        <v>34.25</v>
      </c>
      <c r="C564">
        <v>2025</v>
      </c>
      <c r="D564">
        <v>1</v>
      </c>
      <c r="E564">
        <v>24</v>
      </c>
      <c r="F564">
        <f>Sayfa1!C564-273.15</f>
        <v>15.435693359375023</v>
      </c>
      <c r="G564">
        <v>18.700267791748047</v>
      </c>
      <c r="H564">
        <f>SQRT(Sayfa1!D564^2+Sayfa1!E564^2)</f>
        <v>2.8624864008182365</v>
      </c>
      <c r="I564">
        <f>SUM(Sayfa1!G541:G564)</f>
        <v>0</v>
      </c>
    </row>
    <row r="565" spans="1:9" x14ac:dyDescent="0.3">
      <c r="A565">
        <v>-118.5</v>
      </c>
      <c r="B565">
        <v>34.25</v>
      </c>
      <c r="C565">
        <v>2025</v>
      </c>
      <c r="D565">
        <v>1</v>
      </c>
      <c r="E565">
        <v>24</v>
      </c>
      <c r="F565">
        <f>Sayfa1!C565-273.15</f>
        <v>15.280175781250023</v>
      </c>
      <c r="G565">
        <v>19.449153900146484</v>
      </c>
      <c r="H565">
        <f>SQRT(Sayfa1!D565^2+Sayfa1!E565^2)</f>
        <v>2.917657128575843</v>
      </c>
      <c r="I565">
        <f>SUM(Sayfa1!G542:G565)</f>
        <v>0</v>
      </c>
    </row>
    <row r="566" spans="1:9" x14ac:dyDescent="0.3">
      <c r="A566">
        <v>-118.5</v>
      </c>
      <c r="B566">
        <v>34.25</v>
      </c>
      <c r="C566">
        <v>2025</v>
      </c>
      <c r="D566">
        <v>1</v>
      </c>
      <c r="E566">
        <v>24</v>
      </c>
      <c r="F566">
        <f>Sayfa1!C566-273.15</f>
        <v>15.386499023437523</v>
      </c>
      <c r="G566">
        <v>19.628040313720703</v>
      </c>
      <c r="H566">
        <f>SQRT(Sayfa1!D566^2+Sayfa1!E566^2)</f>
        <v>2.9483279026689688</v>
      </c>
      <c r="I566">
        <f>SUM(Sayfa1!G543:G566)</f>
        <v>0</v>
      </c>
    </row>
    <row r="567" spans="1:9" x14ac:dyDescent="0.3">
      <c r="A567">
        <v>-118.5</v>
      </c>
      <c r="B567">
        <v>34.25</v>
      </c>
      <c r="C567">
        <v>2025</v>
      </c>
      <c r="D567">
        <v>1</v>
      </c>
      <c r="E567">
        <v>24</v>
      </c>
      <c r="F567">
        <f>Sayfa1!C567-273.15</f>
        <v>15.444726562500023</v>
      </c>
      <c r="G567">
        <v>19.481042861938477</v>
      </c>
      <c r="H567">
        <f>SQRT(Sayfa1!D567^2+Sayfa1!E567^2)</f>
        <v>2.9042291072556337</v>
      </c>
      <c r="I567">
        <f>SUM(Sayfa1!G544:G567)</f>
        <v>0</v>
      </c>
    </row>
    <row r="568" spans="1:9" x14ac:dyDescent="0.3">
      <c r="A568">
        <v>-118.5</v>
      </c>
      <c r="B568">
        <v>34.25</v>
      </c>
      <c r="C568">
        <v>2025</v>
      </c>
      <c r="D568">
        <v>1</v>
      </c>
      <c r="E568">
        <v>24</v>
      </c>
      <c r="F568">
        <f>Sayfa1!C568-273.15</f>
        <v>15.404565429687523</v>
      </c>
      <c r="G568">
        <v>19.620176315307617</v>
      </c>
      <c r="H568">
        <f>SQRT(Sayfa1!D568^2+Sayfa1!E568^2)</f>
        <v>2.862959108943437</v>
      </c>
      <c r="I568">
        <f>SUM(Sayfa1!G545:G568)</f>
        <v>0</v>
      </c>
    </row>
    <row r="569" spans="1:9" x14ac:dyDescent="0.3">
      <c r="A569">
        <v>-118.5</v>
      </c>
      <c r="B569">
        <v>34.25</v>
      </c>
      <c r="C569">
        <v>2025</v>
      </c>
      <c r="D569">
        <v>1</v>
      </c>
      <c r="E569">
        <v>24</v>
      </c>
      <c r="F569">
        <f>Sayfa1!C569-273.15</f>
        <v>15.328027343750023</v>
      </c>
      <c r="G569">
        <v>20.3857421875</v>
      </c>
      <c r="H569">
        <f>SQRT(Sayfa1!D569^2+Sayfa1!E569^2)</f>
        <v>2.7686286958426796</v>
      </c>
      <c r="I569">
        <f>SUM(Sayfa1!G546:G569)</f>
        <v>0</v>
      </c>
    </row>
    <row r="570" spans="1:9" x14ac:dyDescent="0.3">
      <c r="A570">
        <v>-118.5</v>
      </c>
      <c r="B570">
        <v>34.25</v>
      </c>
      <c r="C570">
        <v>2025</v>
      </c>
      <c r="D570">
        <v>1</v>
      </c>
      <c r="E570">
        <v>24</v>
      </c>
      <c r="F570">
        <f>Sayfa1!C570-273.15</f>
        <v>15.282739257812523</v>
      </c>
      <c r="G570">
        <v>20.1856689453125</v>
      </c>
      <c r="H570">
        <f>SQRT(Sayfa1!D570^2+Sayfa1!E570^2)</f>
        <v>2.4070776055697034</v>
      </c>
      <c r="I570">
        <f>SUM(Sayfa1!G547:G570)</f>
        <v>0</v>
      </c>
    </row>
    <row r="571" spans="1:9" x14ac:dyDescent="0.3">
      <c r="A571">
        <v>-118.5</v>
      </c>
      <c r="B571">
        <v>34.25</v>
      </c>
      <c r="C571">
        <v>2025</v>
      </c>
      <c r="D571">
        <v>1</v>
      </c>
      <c r="E571">
        <v>24</v>
      </c>
      <c r="F571">
        <f>Sayfa1!C571-273.15</f>
        <v>15.279443359375023</v>
      </c>
      <c r="G571">
        <v>16.122207641601563</v>
      </c>
      <c r="H571">
        <f>SQRT(Sayfa1!D571^2+Sayfa1!E571^2)</f>
        <v>2.0563886798102309</v>
      </c>
      <c r="I571">
        <f>SUM(Sayfa1!G548:G571)</f>
        <v>0</v>
      </c>
    </row>
    <row r="572" spans="1:9" x14ac:dyDescent="0.3">
      <c r="A572">
        <v>-118.5</v>
      </c>
      <c r="B572">
        <v>34.25</v>
      </c>
      <c r="C572">
        <v>2025</v>
      </c>
      <c r="D572">
        <v>1</v>
      </c>
      <c r="E572">
        <v>24</v>
      </c>
      <c r="F572">
        <f>Sayfa1!C572-273.15</f>
        <v>15.771386718750023</v>
      </c>
      <c r="G572">
        <v>9.4629068374633789</v>
      </c>
      <c r="H572">
        <f>SQRT(Sayfa1!D572^2+Sayfa1!E572^2)</f>
        <v>1.7479255596878294</v>
      </c>
      <c r="I572">
        <f>SUM(Sayfa1!G549:G572)</f>
        <v>0</v>
      </c>
    </row>
    <row r="573" spans="1:9" x14ac:dyDescent="0.3">
      <c r="A573">
        <v>-118.5</v>
      </c>
      <c r="B573">
        <v>34.25</v>
      </c>
      <c r="C573">
        <v>2025</v>
      </c>
      <c r="D573">
        <v>1</v>
      </c>
      <c r="E573">
        <v>24</v>
      </c>
      <c r="F573">
        <f>Sayfa1!C573-273.15</f>
        <v>18.255639648437523</v>
      </c>
      <c r="G573">
        <v>8.3912496566772461</v>
      </c>
      <c r="H573">
        <f>SQRT(Sayfa1!D573^2+Sayfa1!E573^2)</f>
        <v>1.294871927861649</v>
      </c>
      <c r="I573">
        <f>SUM(Sayfa1!G550:G573)</f>
        <v>0</v>
      </c>
    </row>
    <row r="574" spans="1:9" x14ac:dyDescent="0.3">
      <c r="A574">
        <v>-118.5</v>
      </c>
      <c r="B574">
        <v>34.25</v>
      </c>
      <c r="C574">
        <v>2025</v>
      </c>
      <c r="D574">
        <v>1</v>
      </c>
      <c r="E574">
        <v>24</v>
      </c>
      <c r="F574">
        <f>Sayfa1!C574-273.15</f>
        <v>19.866845703125023</v>
      </c>
      <c r="G574">
        <v>7.7056493759155273</v>
      </c>
      <c r="H574">
        <f>SQRT(Sayfa1!D574^2+Sayfa1!E574^2)</f>
        <v>0.56618212507825194</v>
      </c>
      <c r="I574">
        <f>SUM(Sayfa1!G551:G574)</f>
        <v>0</v>
      </c>
    </row>
    <row r="575" spans="1:9" x14ac:dyDescent="0.3">
      <c r="A575">
        <v>-118.5</v>
      </c>
      <c r="B575">
        <v>34.25</v>
      </c>
      <c r="C575">
        <v>2025</v>
      </c>
      <c r="D575">
        <v>1</v>
      </c>
      <c r="E575">
        <v>24</v>
      </c>
      <c r="F575">
        <f>Sayfa1!C575-273.15</f>
        <v>20.922570800781273</v>
      </c>
      <c r="G575">
        <v>7.4497976303100586</v>
      </c>
      <c r="H575">
        <f>SQRT(Sayfa1!D575^2+Sayfa1!E575^2)</f>
        <v>0.389128742362082</v>
      </c>
      <c r="I575">
        <f>SUM(Sayfa1!G552:G575)</f>
        <v>0</v>
      </c>
    </row>
    <row r="576" spans="1:9" x14ac:dyDescent="0.3">
      <c r="A576">
        <v>-118.5</v>
      </c>
      <c r="B576">
        <v>34.25</v>
      </c>
      <c r="C576">
        <v>2025</v>
      </c>
      <c r="D576">
        <v>1</v>
      </c>
      <c r="E576">
        <v>24</v>
      </c>
      <c r="F576">
        <f>Sayfa1!C576-273.15</f>
        <v>20.807641601562523</v>
      </c>
      <c r="G576">
        <v>8.2757101058959961</v>
      </c>
      <c r="H576">
        <f>SQRT(Sayfa1!D576^2+Sayfa1!E576^2)</f>
        <v>0.44887440612370794</v>
      </c>
      <c r="I576">
        <f>SUM(Sayfa1!G553:G576)</f>
        <v>0</v>
      </c>
    </row>
    <row r="577" spans="1:9" x14ac:dyDescent="0.3">
      <c r="A577">
        <v>-118.5</v>
      </c>
      <c r="B577">
        <v>34.25</v>
      </c>
      <c r="C577">
        <v>2025</v>
      </c>
      <c r="D577">
        <v>1</v>
      </c>
      <c r="E577">
        <v>24</v>
      </c>
      <c r="F577">
        <f>Sayfa1!C577-273.15</f>
        <v>21.147607421875023</v>
      </c>
      <c r="G577">
        <v>8.0698909759521484</v>
      </c>
      <c r="H577">
        <f>SQRT(Sayfa1!D577^2+Sayfa1!E577^2)</f>
        <v>1.3524682134877093</v>
      </c>
      <c r="I577">
        <f>SUM(Sayfa1!G554:G577)</f>
        <v>0</v>
      </c>
    </row>
    <row r="578" spans="1:9" x14ac:dyDescent="0.3">
      <c r="A578">
        <v>-118.5</v>
      </c>
      <c r="B578">
        <v>34.25</v>
      </c>
      <c r="C578">
        <v>2025</v>
      </c>
      <c r="D578">
        <v>1</v>
      </c>
      <c r="E578">
        <v>25</v>
      </c>
      <c r="F578">
        <f>Sayfa1!C578-273.15</f>
        <v>20.735986328125023</v>
      </c>
      <c r="G578">
        <v>8.765533447265625</v>
      </c>
      <c r="H578">
        <f>SQRT(Sayfa1!D578^2+Sayfa1!E578^2)</f>
        <v>2.2460564601954025</v>
      </c>
      <c r="I578">
        <f>SUM(Sayfa1!G555:G578)</f>
        <v>0</v>
      </c>
    </row>
    <row r="579" spans="1:9" x14ac:dyDescent="0.3">
      <c r="A579">
        <v>-118.5</v>
      </c>
      <c r="B579">
        <v>34.25</v>
      </c>
      <c r="C579">
        <v>2025</v>
      </c>
      <c r="D579">
        <v>1</v>
      </c>
      <c r="E579">
        <v>25</v>
      </c>
      <c r="F579">
        <f>Sayfa1!C579-273.15</f>
        <v>19.424462890625023</v>
      </c>
      <c r="G579">
        <v>12.405558586120605</v>
      </c>
      <c r="H579">
        <f>SQRT(Sayfa1!D579^2+Sayfa1!E579^2)</f>
        <v>1.8780809552065052</v>
      </c>
      <c r="I579">
        <f>SUM(Sayfa1!G556:G579)</f>
        <v>0</v>
      </c>
    </row>
    <row r="580" spans="1:9" x14ac:dyDescent="0.3">
      <c r="A580">
        <v>-118.5</v>
      </c>
      <c r="B580">
        <v>34.25</v>
      </c>
      <c r="C580">
        <v>2025</v>
      </c>
      <c r="D580">
        <v>1</v>
      </c>
      <c r="E580">
        <v>25</v>
      </c>
      <c r="F580">
        <f>Sayfa1!C580-273.15</f>
        <v>18.342431640625023</v>
      </c>
      <c r="G580">
        <v>16.726474761962891</v>
      </c>
      <c r="H580">
        <f>SQRT(Sayfa1!D580^2+Sayfa1!E580^2)</f>
        <v>1.2955716454297608</v>
      </c>
      <c r="I580">
        <f>SUM(Sayfa1!G557:G580)</f>
        <v>0</v>
      </c>
    </row>
    <row r="581" spans="1:9" x14ac:dyDescent="0.3">
      <c r="A581">
        <v>-118.5</v>
      </c>
      <c r="B581">
        <v>34.25</v>
      </c>
      <c r="C581">
        <v>2025</v>
      </c>
      <c r="D581">
        <v>1</v>
      </c>
      <c r="E581">
        <v>25</v>
      </c>
      <c r="F581">
        <f>Sayfa1!C581-273.15</f>
        <v>17.926782226562523</v>
      </c>
      <c r="G581">
        <v>19.165288925170898</v>
      </c>
      <c r="H581">
        <f>SQRT(Sayfa1!D581^2+Sayfa1!E581^2)</f>
        <v>0.34290492152501906</v>
      </c>
      <c r="I581">
        <f>SUM(Sayfa1!G558:G581)</f>
        <v>0</v>
      </c>
    </row>
    <row r="582" spans="1:9" x14ac:dyDescent="0.3">
      <c r="A582">
        <v>-118.5</v>
      </c>
      <c r="B582">
        <v>34.25</v>
      </c>
      <c r="C582">
        <v>2025</v>
      </c>
      <c r="D582">
        <v>1</v>
      </c>
      <c r="E582">
        <v>25</v>
      </c>
      <c r="F582">
        <f>Sayfa1!C582-273.15</f>
        <v>17.732568359375023</v>
      </c>
      <c r="G582">
        <v>20.445709228515625</v>
      </c>
      <c r="H582">
        <f>SQRT(Sayfa1!D582^2+Sayfa1!E582^2)</f>
        <v>0.5915972735790096</v>
      </c>
      <c r="I582">
        <f>SUM(Sayfa1!G559:G582)</f>
        <v>0</v>
      </c>
    </row>
    <row r="583" spans="1:9" x14ac:dyDescent="0.3">
      <c r="A583">
        <v>-118.5</v>
      </c>
      <c r="B583">
        <v>34.25</v>
      </c>
      <c r="C583">
        <v>2025</v>
      </c>
      <c r="D583">
        <v>1</v>
      </c>
      <c r="E583">
        <v>25</v>
      </c>
      <c r="F583">
        <f>Sayfa1!C583-273.15</f>
        <v>17.321069335937523</v>
      </c>
      <c r="G583">
        <v>20.558568954467773</v>
      </c>
      <c r="H583">
        <f>SQRT(Sayfa1!D583^2+Sayfa1!E583^2)</f>
        <v>0.70577930370073638</v>
      </c>
      <c r="I583">
        <f>SUM(Sayfa1!G560:G583)</f>
        <v>0</v>
      </c>
    </row>
    <row r="584" spans="1:9" x14ac:dyDescent="0.3">
      <c r="A584">
        <v>-118.5</v>
      </c>
      <c r="B584">
        <v>34.25</v>
      </c>
      <c r="C584">
        <v>2025</v>
      </c>
      <c r="D584">
        <v>1</v>
      </c>
      <c r="E584">
        <v>25</v>
      </c>
      <c r="F584">
        <f>Sayfa1!C584-273.15</f>
        <v>16.539941406250023</v>
      </c>
      <c r="G584">
        <v>21.614280700683594</v>
      </c>
      <c r="H584">
        <f>SQRT(Sayfa1!D584^2+Sayfa1!E584^2)</f>
        <v>0.93669950624640219</v>
      </c>
      <c r="I584">
        <f>SUM(Sayfa1!G561:G584)</f>
        <v>0</v>
      </c>
    </row>
    <row r="585" spans="1:9" x14ac:dyDescent="0.3">
      <c r="A585">
        <v>-118.5</v>
      </c>
      <c r="B585">
        <v>34.25</v>
      </c>
      <c r="C585">
        <v>2025</v>
      </c>
      <c r="D585">
        <v>1</v>
      </c>
      <c r="E585">
        <v>25</v>
      </c>
      <c r="F585">
        <f>Sayfa1!C585-273.15</f>
        <v>15.629785156250023</v>
      </c>
      <c r="G585">
        <v>24.044990539550781</v>
      </c>
      <c r="H585">
        <f>SQRT(Sayfa1!D585^2+Sayfa1!E585^2)</f>
        <v>1.2083622854502578</v>
      </c>
      <c r="I585">
        <f>SUM(Sayfa1!G562:G585)</f>
        <v>0</v>
      </c>
    </row>
    <row r="586" spans="1:9" x14ac:dyDescent="0.3">
      <c r="A586">
        <v>-118.5</v>
      </c>
      <c r="B586">
        <v>34.25</v>
      </c>
      <c r="C586">
        <v>2025</v>
      </c>
      <c r="D586">
        <v>1</v>
      </c>
      <c r="E586">
        <v>25</v>
      </c>
      <c r="F586">
        <f>Sayfa1!C586-273.15</f>
        <v>14.715112304687523</v>
      </c>
      <c r="G586">
        <v>26.806316375732422</v>
      </c>
      <c r="H586">
        <f>SQRT(Sayfa1!D586^2+Sayfa1!E586^2)</f>
        <v>1.3534748477559413</v>
      </c>
      <c r="I586">
        <f>SUM(Sayfa1!G563:G586)</f>
        <v>0</v>
      </c>
    </row>
    <row r="587" spans="1:9" x14ac:dyDescent="0.3">
      <c r="A587">
        <v>-118.5</v>
      </c>
      <c r="B587">
        <v>34.25</v>
      </c>
      <c r="C587">
        <v>2025</v>
      </c>
      <c r="D587">
        <v>1</v>
      </c>
      <c r="E587">
        <v>25</v>
      </c>
      <c r="F587">
        <f>Sayfa1!C587-273.15</f>
        <v>13.919824218750023</v>
      </c>
      <c r="G587">
        <v>29.479497909545898</v>
      </c>
      <c r="H587">
        <f>SQRT(Sayfa1!D587^2+Sayfa1!E587^2)</f>
        <v>1.5292832400151375</v>
      </c>
      <c r="I587">
        <f>SUM(Sayfa1!G564:G587)</f>
        <v>0</v>
      </c>
    </row>
    <row r="588" spans="1:9" x14ac:dyDescent="0.3">
      <c r="A588">
        <v>-118.5</v>
      </c>
      <c r="B588">
        <v>34.25</v>
      </c>
      <c r="C588">
        <v>2025</v>
      </c>
      <c r="D588">
        <v>1</v>
      </c>
      <c r="E588">
        <v>25</v>
      </c>
      <c r="F588">
        <f>Sayfa1!C588-273.15</f>
        <v>13.631127929687523</v>
      </c>
      <c r="G588">
        <v>29.705810546875</v>
      </c>
      <c r="H588">
        <f>SQRT(Sayfa1!D588^2+Sayfa1!E588^2)</f>
        <v>1.5060499803690666</v>
      </c>
      <c r="I588">
        <f>SUM(Sayfa1!G565:G588)</f>
        <v>0</v>
      </c>
    </row>
    <row r="589" spans="1:9" x14ac:dyDescent="0.3">
      <c r="A589">
        <v>-118.5</v>
      </c>
      <c r="B589">
        <v>34.25</v>
      </c>
      <c r="C589">
        <v>2025</v>
      </c>
      <c r="D589">
        <v>1</v>
      </c>
      <c r="E589">
        <v>25</v>
      </c>
      <c r="F589">
        <f>Sayfa1!C589-273.15</f>
        <v>13.158959960937523</v>
      </c>
      <c r="G589">
        <v>31.970676422119141</v>
      </c>
      <c r="H589">
        <f>SQRT(Sayfa1!D589^2+Sayfa1!E589^2)</f>
        <v>1.4908492453617612</v>
      </c>
      <c r="I589">
        <f>SUM(Sayfa1!G566:G589)</f>
        <v>0</v>
      </c>
    </row>
    <row r="590" spans="1:9" x14ac:dyDescent="0.3">
      <c r="A590">
        <v>-118.5</v>
      </c>
      <c r="B590">
        <v>34.25</v>
      </c>
      <c r="C590">
        <v>2025</v>
      </c>
      <c r="D590">
        <v>1</v>
      </c>
      <c r="E590">
        <v>25</v>
      </c>
      <c r="F590">
        <f>Sayfa1!C590-273.15</f>
        <v>12.955285644531273</v>
      </c>
      <c r="G590">
        <v>32.727157592773438</v>
      </c>
      <c r="H590">
        <f>SQRT(Sayfa1!D590^2+Sayfa1!E590^2)</f>
        <v>1.3678538622914289</v>
      </c>
      <c r="I590">
        <f>SUM(Sayfa1!G567:G590)</f>
        <v>0</v>
      </c>
    </row>
    <row r="591" spans="1:9" x14ac:dyDescent="0.3">
      <c r="A591">
        <v>-118.5</v>
      </c>
      <c r="B591">
        <v>34.25</v>
      </c>
      <c r="C591">
        <v>2025</v>
      </c>
      <c r="D591">
        <v>1</v>
      </c>
      <c r="E591">
        <v>25</v>
      </c>
      <c r="F591">
        <f>Sayfa1!C591-273.15</f>
        <v>12.747705078125023</v>
      </c>
      <c r="G591">
        <v>32.230918884277344</v>
      </c>
      <c r="H591">
        <f>SQRT(Sayfa1!D591^2+Sayfa1!E591^2)</f>
        <v>1.1258757451820649</v>
      </c>
      <c r="I591">
        <f>SUM(Sayfa1!G568:G591)</f>
        <v>0</v>
      </c>
    </row>
    <row r="592" spans="1:9" x14ac:dyDescent="0.3">
      <c r="A592">
        <v>-118.5</v>
      </c>
      <c r="B592">
        <v>34.25</v>
      </c>
      <c r="C592">
        <v>2025</v>
      </c>
      <c r="D592">
        <v>1</v>
      </c>
      <c r="E592">
        <v>25</v>
      </c>
      <c r="F592">
        <f>Sayfa1!C592-273.15</f>
        <v>12.502404785156273</v>
      </c>
      <c r="G592">
        <v>31.586231231689453</v>
      </c>
      <c r="H592">
        <f>SQRT(Sayfa1!D592^2+Sayfa1!E592^2)</f>
        <v>1.0197489116063019</v>
      </c>
      <c r="I592">
        <f>SUM(Sayfa1!G569:G592)</f>
        <v>0</v>
      </c>
    </row>
    <row r="593" spans="1:9" x14ac:dyDescent="0.3">
      <c r="A593">
        <v>-118.5</v>
      </c>
      <c r="B593">
        <v>34.25</v>
      </c>
      <c r="C593">
        <v>2025</v>
      </c>
      <c r="D593">
        <v>1</v>
      </c>
      <c r="E593">
        <v>25</v>
      </c>
      <c r="F593">
        <f>Sayfa1!C593-273.15</f>
        <v>12.221337890625023</v>
      </c>
      <c r="G593">
        <v>31.262657165527344</v>
      </c>
      <c r="H593">
        <f>SQRT(Sayfa1!D593^2+Sayfa1!E593^2)</f>
        <v>1.177695353278283</v>
      </c>
      <c r="I593">
        <f>SUM(Sayfa1!G570:G593)</f>
        <v>0</v>
      </c>
    </row>
    <row r="594" spans="1:9" x14ac:dyDescent="0.3">
      <c r="A594">
        <v>-118.5</v>
      </c>
      <c r="B594">
        <v>34.25</v>
      </c>
      <c r="C594">
        <v>2025</v>
      </c>
      <c r="D594">
        <v>1</v>
      </c>
      <c r="E594">
        <v>25</v>
      </c>
      <c r="F594">
        <f>Sayfa1!C594-273.15</f>
        <v>11.927575683593773</v>
      </c>
      <c r="G594">
        <v>30.335186004638672</v>
      </c>
      <c r="H594">
        <f>SQRT(Sayfa1!D594^2+Sayfa1!E594^2)</f>
        <v>0.82594435190526938</v>
      </c>
      <c r="I594">
        <f>SUM(Sayfa1!G571:G594)</f>
        <v>0</v>
      </c>
    </row>
    <row r="595" spans="1:9" x14ac:dyDescent="0.3">
      <c r="A595">
        <v>-118.5</v>
      </c>
      <c r="B595">
        <v>34.25</v>
      </c>
      <c r="C595">
        <v>2025</v>
      </c>
      <c r="D595">
        <v>1</v>
      </c>
      <c r="E595">
        <v>25</v>
      </c>
      <c r="F595">
        <f>Sayfa1!C595-273.15</f>
        <v>11.707971191406273</v>
      </c>
      <c r="G595">
        <v>26.612918853759766</v>
      </c>
      <c r="H595">
        <f>SQRT(Sayfa1!D595^2+Sayfa1!E595^2)</f>
        <v>1.0232340642568774</v>
      </c>
      <c r="I595">
        <f>SUM(Sayfa1!G572:G595)</f>
        <v>4.76837158203125E-4</v>
      </c>
    </row>
    <row r="596" spans="1:9" x14ac:dyDescent="0.3">
      <c r="A596">
        <v>-118.5</v>
      </c>
      <c r="B596">
        <v>34.25</v>
      </c>
      <c r="C596">
        <v>2025</v>
      </c>
      <c r="D596">
        <v>1</v>
      </c>
      <c r="E596">
        <v>25</v>
      </c>
      <c r="F596">
        <f>Sayfa1!C596-273.15</f>
        <v>12.429528808593773</v>
      </c>
      <c r="G596">
        <v>42.865859985351563</v>
      </c>
      <c r="H596">
        <f>SQRT(Sayfa1!D596^2+Sayfa1!E596^2)</f>
        <v>3.2637792349323815</v>
      </c>
      <c r="I596">
        <f>SUM(Sayfa1!G573:G596)</f>
        <v>1.430511474609375E-3</v>
      </c>
    </row>
    <row r="597" spans="1:9" x14ac:dyDescent="0.3">
      <c r="A597">
        <v>-118.5</v>
      </c>
      <c r="B597">
        <v>34.25</v>
      </c>
      <c r="C597">
        <v>2025</v>
      </c>
      <c r="D597">
        <v>1</v>
      </c>
      <c r="E597">
        <v>25</v>
      </c>
      <c r="F597">
        <f>Sayfa1!C597-273.15</f>
        <v>13.096154785156273</v>
      </c>
      <c r="G597">
        <v>48.4327392578125</v>
      </c>
      <c r="H597">
        <f>SQRT(Sayfa1!D597^2+Sayfa1!E597^2)</f>
        <v>3.9769119249285447</v>
      </c>
      <c r="I597">
        <f>SUM(Sayfa1!G574:G597)</f>
        <v>1.430511474609375E-3</v>
      </c>
    </row>
    <row r="598" spans="1:9" x14ac:dyDescent="0.3">
      <c r="A598">
        <v>-118.5</v>
      </c>
      <c r="B598">
        <v>34.25</v>
      </c>
      <c r="C598">
        <v>2025</v>
      </c>
      <c r="D598">
        <v>1</v>
      </c>
      <c r="E598">
        <v>25</v>
      </c>
      <c r="F598">
        <f>Sayfa1!C598-273.15</f>
        <v>13.634118652343773</v>
      </c>
      <c r="G598">
        <v>50.761688232421875</v>
      </c>
      <c r="H598">
        <f>SQRT(Sayfa1!D598^2+Sayfa1!E598^2)</f>
        <v>4.4641179814913672</v>
      </c>
      <c r="I598">
        <f>SUM(Sayfa1!G575:G598)</f>
        <v>1.430511474609375E-3</v>
      </c>
    </row>
    <row r="599" spans="1:9" x14ac:dyDescent="0.3">
      <c r="A599">
        <v>-118.5</v>
      </c>
      <c r="B599">
        <v>34.25</v>
      </c>
      <c r="C599">
        <v>2025</v>
      </c>
      <c r="D599">
        <v>1</v>
      </c>
      <c r="E599">
        <v>25</v>
      </c>
      <c r="F599">
        <f>Sayfa1!C599-273.15</f>
        <v>13.875268554687523</v>
      </c>
      <c r="G599">
        <v>51.928451538085938</v>
      </c>
      <c r="H599">
        <f>SQRT(Sayfa1!D599^2+Sayfa1!E599^2)</f>
        <v>4.9040699697041514</v>
      </c>
      <c r="I599">
        <f>SUM(Sayfa1!G576:G599)</f>
        <v>1.430511474609375E-3</v>
      </c>
    </row>
    <row r="600" spans="1:9" x14ac:dyDescent="0.3">
      <c r="A600">
        <v>-118.5</v>
      </c>
      <c r="B600">
        <v>34.25</v>
      </c>
      <c r="C600">
        <v>2025</v>
      </c>
      <c r="D600">
        <v>1</v>
      </c>
      <c r="E600">
        <v>25</v>
      </c>
      <c r="F600">
        <f>Sayfa1!C600-273.15</f>
        <v>13.500573730468773</v>
      </c>
      <c r="G600">
        <v>60.284225463867188</v>
      </c>
      <c r="H600">
        <f>SQRT(Sayfa1!D600^2+Sayfa1!E600^2)</f>
        <v>4.9255129783303975</v>
      </c>
      <c r="I600">
        <f>SUM(Sayfa1!G577:G600)</f>
        <v>1.430511474609375E-3</v>
      </c>
    </row>
    <row r="601" spans="1:9" x14ac:dyDescent="0.3">
      <c r="A601">
        <v>-118.5</v>
      </c>
      <c r="B601">
        <v>34.25</v>
      </c>
      <c r="C601">
        <v>2025</v>
      </c>
      <c r="D601">
        <v>1</v>
      </c>
      <c r="E601">
        <v>25</v>
      </c>
      <c r="F601">
        <f>Sayfa1!C601-273.15</f>
        <v>13.131860351562523</v>
      </c>
      <c r="G601">
        <v>64.924942016601563</v>
      </c>
      <c r="H601">
        <f>SQRT(Sayfa1!D601^2+Sayfa1!E601^2)</f>
        <v>4.7395183694064213</v>
      </c>
      <c r="I601">
        <f>SUM(Sayfa1!G578:G601)</f>
        <v>1.430511474609375E-3</v>
      </c>
    </row>
    <row r="602" spans="1:9" x14ac:dyDescent="0.3">
      <c r="A602">
        <v>-118.5</v>
      </c>
      <c r="B602">
        <v>34.25</v>
      </c>
      <c r="C602">
        <v>2025</v>
      </c>
      <c r="D602">
        <v>1</v>
      </c>
      <c r="E602">
        <v>26</v>
      </c>
      <c r="F602">
        <f>Sayfa1!C602-273.15</f>
        <v>12.464044189453148</v>
      </c>
      <c r="G602">
        <v>70.914886474609375</v>
      </c>
      <c r="H602">
        <f>SQRT(Sayfa1!D602^2+Sayfa1!E602^2)</f>
        <v>4.5515657136867222</v>
      </c>
      <c r="I602">
        <f>SUM(Sayfa1!G579:G602)</f>
        <v>7.62939453125E-3</v>
      </c>
    </row>
    <row r="603" spans="1:9" x14ac:dyDescent="0.3">
      <c r="A603">
        <v>-118.5</v>
      </c>
      <c r="B603">
        <v>34.25</v>
      </c>
      <c r="C603">
        <v>2025</v>
      </c>
      <c r="D603">
        <v>1</v>
      </c>
      <c r="E603">
        <v>26</v>
      </c>
      <c r="F603">
        <f>Sayfa1!C603-273.15</f>
        <v>11.695703125000023</v>
      </c>
      <c r="G603">
        <v>77.1832275390625</v>
      </c>
      <c r="H603">
        <f>SQRT(Sayfa1!D603^2+Sayfa1!E603^2)</f>
        <v>3.7104998860386824</v>
      </c>
      <c r="I603">
        <f>SUM(Sayfa1!G580:G603)</f>
        <v>4.9114227294921875E-2</v>
      </c>
    </row>
    <row r="604" spans="1:9" x14ac:dyDescent="0.3">
      <c r="A604">
        <v>-118.5</v>
      </c>
      <c r="B604">
        <v>34.25</v>
      </c>
      <c r="C604">
        <v>2025</v>
      </c>
      <c r="D604">
        <v>1</v>
      </c>
      <c r="E604">
        <v>26</v>
      </c>
      <c r="F604">
        <f>Sayfa1!C604-273.15</f>
        <v>11.123193359375023</v>
      </c>
      <c r="G604">
        <v>82.58868408203125</v>
      </c>
      <c r="H604">
        <f>SQRT(Sayfa1!D604^2+Sayfa1!E604^2)</f>
        <v>2.6754587572994364</v>
      </c>
      <c r="I604">
        <f>SUM(Sayfa1!G581:G604)</f>
        <v>9.2029571533203125E-2</v>
      </c>
    </row>
    <row r="605" spans="1:9" x14ac:dyDescent="0.3">
      <c r="A605">
        <v>-118.5</v>
      </c>
      <c r="B605">
        <v>34.25</v>
      </c>
      <c r="C605">
        <v>2025</v>
      </c>
      <c r="D605">
        <v>1</v>
      </c>
      <c r="E605">
        <v>26</v>
      </c>
      <c r="F605">
        <f>Sayfa1!C605-273.15</f>
        <v>10.555078125000023</v>
      </c>
      <c r="G605">
        <v>87.821151733398438</v>
      </c>
      <c r="H605">
        <f>SQRT(Sayfa1!D605^2+Sayfa1!E605^2)</f>
        <v>2.1648622931256178</v>
      </c>
      <c r="I605">
        <f>SUM(Sayfa1!G582:G605)</f>
        <v>0.26702880859375</v>
      </c>
    </row>
    <row r="606" spans="1:9" x14ac:dyDescent="0.3">
      <c r="A606">
        <v>-118.5</v>
      </c>
      <c r="B606">
        <v>34.25</v>
      </c>
      <c r="C606">
        <v>2025</v>
      </c>
      <c r="D606">
        <v>1</v>
      </c>
      <c r="E606">
        <v>26</v>
      </c>
      <c r="F606">
        <f>Sayfa1!C606-273.15</f>
        <v>10.288415527343773</v>
      </c>
      <c r="G606">
        <v>89.919036865234375</v>
      </c>
      <c r="H606">
        <f>SQRT(Sayfa1!D606^2+Sayfa1!E606^2)</f>
        <v>2.3053063743702418</v>
      </c>
      <c r="I606">
        <f>SUM(Sayfa1!G583:G606)</f>
        <v>0.63419342041015625</v>
      </c>
    </row>
    <row r="607" spans="1:9" x14ac:dyDescent="0.3">
      <c r="A607">
        <v>-118.5</v>
      </c>
      <c r="B607">
        <v>34.25</v>
      </c>
      <c r="C607">
        <v>2025</v>
      </c>
      <c r="D607">
        <v>1</v>
      </c>
      <c r="E607">
        <v>26</v>
      </c>
      <c r="F607">
        <f>Sayfa1!C607-273.15</f>
        <v>10.094415283203148</v>
      </c>
      <c r="G607">
        <v>92.36199951171875</v>
      </c>
      <c r="H607">
        <f>SQRT(Sayfa1!D607^2+Sayfa1!E607^2)</f>
        <v>1.8495687130448386</v>
      </c>
      <c r="I607">
        <f>SUM(Sayfa1!G584:G607)</f>
        <v>0.98466873168945313</v>
      </c>
    </row>
    <row r="608" spans="1:9" x14ac:dyDescent="0.3">
      <c r="A608">
        <v>-118.5</v>
      </c>
      <c r="B608">
        <v>34.25</v>
      </c>
      <c r="C608">
        <v>2025</v>
      </c>
      <c r="D608">
        <v>1</v>
      </c>
      <c r="E608">
        <v>26</v>
      </c>
      <c r="F608">
        <f>Sayfa1!C608-273.15</f>
        <v>9.9835449218750227</v>
      </c>
      <c r="G608">
        <v>95.454696655273438</v>
      </c>
      <c r="H608">
        <f>SQRT(Sayfa1!D608^2+Sayfa1!E608^2)</f>
        <v>1.4056166537247174</v>
      </c>
      <c r="I608">
        <f>SUM(Sayfa1!G585:G608)</f>
        <v>1.3232231140136719</v>
      </c>
    </row>
    <row r="609" spans="1:9" x14ac:dyDescent="0.3">
      <c r="A609">
        <v>-118.5</v>
      </c>
      <c r="B609">
        <v>34.25</v>
      </c>
      <c r="C609">
        <v>2025</v>
      </c>
      <c r="D609">
        <v>1</v>
      </c>
      <c r="E609">
        <v>26</v>
      </c>
      <c r="F609">
        <f>Sayfa1!C609-273.15</f>
        <v>9.6869140625000227</v>
      </c>
      <c r="G609">
        <v>101.92568969726563</v>
      </c>
      <c r="H609">
        <f>SQRT(Sayfa1!D609^2+Sayfa1!E609^2)</f>
        <v>1.2201726508506849</v>
      </c>
      <c r="I609">
        <f>SUM(Sayfa1!G586:G609)</f>
        <v>1.8014907836914063</v>
      </c>
    </row>
    <row r="610" spans="1:9" x14ac:dyDescent="0.3">
      <c r="A610">
        <v>-118.5</v>
      </c>
      <c r="B610">
        <v>34.25</v>
      </c>
      <c r="C610">
        <v>2025</v>
      </c>
      <c r="D610">
        <v>1</v>
      </c>
      <c r="E610">
        <v>26</v>
      </c>
      <c r="F610">
        <f>Sayfa1!C610-273.15</f>
        <v>9.5224853515625227</v>
      </c>
      <c r="G610">
        <v>101.01687622070313</v>
      </c>
      <c r="H610">
        <f>SQRT(Sayfa1!D610^2+Sayfa1!E610^2)</f>
        <v>1.1205326701808604</v>
      </c>
      <c r="I610">
        <f>SUM(Sayfa1!G587:G610)</f>
        <v>2.246856689453125</v>
      </c>
    </row>
    <row r="611" spans="1:9" x14ac:dyDescent="0.3">
      <c r="A611">
        <v>-118.5</v>
      </c>
      <c r="B611">
        <v>34.25</v>
      </c>
      <c r="C611">
        <v>2025</v>
      </c>
      <c r="D611">
        <v>1</v>
      </c>
      <c r="E611">
        <v>26</v>
      </c>
      <c r="F611">
        <f>Sayfa1!C611-273.15</f>
        <v>9.4350830078125227</v>
      </c>
      <c r="G611">
        <v>97.485519409179688</v>
      </c>
      <c r="H611">
        <f>SQRT(Sayfa1!D611^2+Sayfa1!E611^2)</f>
        <v>0.71286265517587522</v>
      </c>
      <c r="I611">
        <f>SUM(Sayfa1!G588:G611)</f>
        <v>2.6774406433105469</v>
      </c>
    </row>
    <row r="612" spans="1:9" x14ac:dyDescent="0.3">
      <c r="A612">
        <v>-118.5</v>
      </c>
      <c r="B612">
        <v>34.25</v>
      </c>
      <c r="C612">
        <v>2025</v>
      </c>
      <c r="D612">
        <v>1</v>
      </c>
      <c r="E612">
        <v>26</v>
      </c>
      <c r="F612">
        <f>Sayfa1!C612-273.15</f>
        <v>9.9028564453125227</v>
      </c>
      <c r="G612">
        <v>92.022415161132813</v>
      </c>
      <c r="H612">
        <f>SQRT(Sayfa1!D612^2+Sayfa1!E612^2)</f>
        <v>1.1444207936015505</v>
      </c>
      <c r="I612">
        <f>SUM(Sayfa1!G589:G612)</f>
        <v>3.0832290649414063</v>
      </c>
    </row>
    <row r="613" spans="1:9" x14ac:dyDescent="0.3">
      <c r="A613">
        <v>-118.5</v>
      </c>
      <c r="B613">
        <v>34.25</v>
      </c>
      <c r="C613">
        <v>2025</v>
      </c>
      <c r="D613">
        <v>1</v>
      </c>
      <c r="E613">
        <v>26</v>
      </c>
      <c r="F613">
        <f>Sayfa1!C613-273.15</f>
        <v>9.7731567382812727</v>
      </c>
      <c r="G613">
        <v>93.9853515625</v>
      </c>
      <c r="H613">
        <f>SQRT(Sayfa1!D613^2+Sayfa1!E613^2)</f>
        <v>1.4618936291523559</v>
      </c>
      <c r="I613">
        <f>SUM(Sayfa1!G590:G613)</f>
        <v>3.1843185424804688</v>
      </c>
    </row>
    <row r="614" spans="1:9" x14ac:dyDescent="0.3">
      <c r="A614">
        <v>-118.5</v>
      </c>
      <c r="B614">
        <v>34.25</v>
      </c>
      <c r="C614">
        <v>2025</v>
      </c>
      <c r="D614">
        <v>1</v>
      </c>
      <c r="E614">
        <v>26</v>
      </c>
      <c r="F614">
        <f>Sayfa1!C614-273.15</f>
        <v>9.4890991210937727</v>
      </c>
      <c r="G614">
        <v>94.154083251953125</v>
      </c>
      <c r="H614">
        <f>SQRT(Sayfa1!D614^2+Sayfa1!E614^2)</f>
        <v>1.8991347640191822</v>
      </c>
      <c r="I614">
        <f>SUM(Sayfa1!G591:G614)</f>
        <v>3.5891532897949219</v>
      </c>
    </row>
    <row r="615" spans="1:9" x14ac:dyDescent="0.3">
      <c r="A615">
        <v>-118.5</v>
      </c>
      <c r="B615">
        <v>34.25</v>
      </c>
      <c r="C615">
        <v>2025</v>
      </c>
      <c r="D615">
        <v>1</v>
      </c>
      <c r="E615">
        <v>26</v>
      </c>
      <c r="F615">
        <f>Sayfa1!C615-273.15</f>
        <v>9.2679687500000227</v>
      </c>
      <c r="G615">
        <v>95.75921630859375</v>
      </c>
      <c r="H615">
        <f>SQRT(Sayfa1!D615^2+Sayfa1!E615^2)</f>
        <v>1.8606954437604761</v>
      </c>
      <c r="I615">
        <f>SUM(Sayfa1!G592:G615)</f>
        <v>3.7379264831542969</v>
      </c>
    </row>
    <row r="616" spans="1:9" x14ac:dyDescent="0.3">
      <c r="A616">
        <v>-118.5</v>
      </c>
      <c r="B616">
        <v>34.25</v>
      </c>
      <c r="C616">
        <v>2025</v>
      </c>
      <c r="D616">
        <v>1</v>
      </c>
      <c r="E616">
        <v>26</v>
      </c>
      <c r="F616">
        <f>Sayfa1!C616-273.15</f>
        <v>9.1027465820312727</v>
      </c>
      <c r="G616">
        <v>95.452545166015625</v>
      </c>
      <c r="H616">
        <f>SQRT(Sayfa1!D616^2+Sayfa1!E616^2)</f>
        <v>1.6887578851219616</v>
      </c>
      <c r="I616">
        <f>SUM(Sayfa1!G593:G616)</f>
        <v>3.8609504699707031</v>
      </c>
    </row>
    <row r="617" spans="1:9" x14ac:dyDescent="0.3">
      <c r="A617">
        <v>-118.5</v>
      </c>
      <c r="B617">
        <v>34.25</v>
      </c>
      <c r="C617">
        <v>2025</v>
      </c>
      <c r="D617">
        <v>1</v>
      </c>
      <c r="E617">
        <v>26</v>
      </c>
      <c r="F617">
        <f>Sayfa1!C617-273.15</f>
        <v>8.6656127929687727</v>
      </c>
      <c r="G617">
        <v>93.673660278320313</v>
      </c>
      <c r="H617">
        <f>SQRT(Sayfa1!D617^2+Sayfa1!E617^2)</f>
        <v>1.7699877140868658</v>
      </c>
      <c r="I617">
        <f>SUM(Sayfa1!G594:G617)</f>
        <v>4.1556358337402344</v>
      </c>
    </row>
    <row r="618" spans="1:9" x14ac:dyDescent="0.3">
      <c r="A618">
        <v>-118.5</v>
      </c>
      <c r="B618">
        <v>34.25</v>
      </c>
      <c r="C618">
        <v>2025</v>
      </c>
      <c r="D618">
        <v>1</v>
      </c>
      <c r="E618">
        <v>26</v>
      </c>
      <c r="F618">
        <f>Sayfa1!C618-273.15</f>
        <v>8.5177246093750227</v>
      </c>
      <c r="G618">
        <v>94.25140380859375</v>
      </c>
      <c r="H618">
        <f>SQRT(Sayfa1!D618^2+Sayfa1!E618^2)</f>
        <v>1.7825143844263935</v>
      </c>
      <c r="I618">
        <f>SUM(Sayfa1!G595:G618)</f>
        <v>4.8360824584960938</v>
      </c>
    </row>
    <row r="619" spans="1:9" x14ac:dyDescent="0.3">
      <c r="A619">
        <v>-118.5</v>
      </c>
      <c r="B619">
        <v>34.25</v>
      </c>
      <c r="C619">
        <v>2025</v>
      </c>
      <c r="D619">
        <v>1</v>
      </c>
      <c r="E619">
        <v>26</v>
      </c>
      <c r="F619">
        <f>Sayfa1!C619-273.15</f>
        <v>8.8070922851562727</v>
      </c>
      <c r="G619">
        <v>92.15460205078125</v>
      </c>
      <c r="H619">
        <f>SQRT(Sayfa1!D619^2+Sayfa1!E619^2)</f>
        <v>2.2474431785835951</v>
      </c>
      <c r="I619">
        <f>SUM(Sayfa1!G596:G619)</f>
        <v>5.2709579467773438</v>
      </c>
    </row>
    <row r="620" spans="1:9" x14ac:dyDescent="0.3">
      <c r="A620">
        <v>-118.5</v>
      </c>
      <c r="B620">
        <v>34.25</v>
      </c>
      <c r="C620">
        <v>2025</v>
      </c>
      <c r="D620">
        <v>1</v>
      </c>
      <c r="E620">
        <v>26</v>
      </c>
      <c r="F620">
        <f>Sayfa1!C620-273.15</f>
        <v>9.2612854003906477</v>
      </c>
      <c r="G620">
        <v>87.97552490234375</v>
      </c>
      <c r="H620">
        <f>SQRT(Sayfa1!D620^2+Sayfa1!E620^2)</f>
        <v>2.5222554293432053</v>
      </c>
      <c r="I620">
        <f>SUM(Sayfa1!G597:G620)</f>
        <v>6.1311721801757813</v>
      </c>
    </row>
    <row r="621" spans="1:9" x14ac:dyDescent="0.3">
      <c r="A621">
        <v>-118.5</v>
      </c>
      <c r="B621">
        <v>34.25</v>
      </c>
      <c r="C621">
        <v>2025</v>
      </c>
      <c r="D621">
        <v>1</v>
      </c>
      <c r="E621">
        <v>26</v>
      </c>
      <c r="F621">
        <f>Sayfa1!C621-273.15</f>
        <v>9.9983154296875227</v>
      </c>
      <c r="G621">
        <v>88.237350463867188</v>
      </c>
      <c r="H621">
        <f>SQRT(Sayfa1!D621^2+Sayfa1!E621^2)</f>
        <v>2.4387148715174911</v>
      </c>
      <c r="I621">
        <f>SUM(Sayfa1!G598:G621)</f>
        <v>7.8616142272949219</v>
      </c>
    </row>
    <row r="622" spans="1:9" x14ac:dyDescent="0.3">
      <c r="A622">
        <v>-118.5</v>
      </c>
      <c r="B622">
        <v>34.25</v>
      </c>
      <c r="C622">
        <v>2025</v>
      </c>
      <c r="D622">
        <v>1</v>
      </c>
      <c r="E622">
        <v>26</v>
      </c>
      <c r="F622">
        <f>Sayfa1!C622-273.15</f>
        <v>10.649957275390648</v>
      </c>
      <c r="G622">
        <v>79.6253662109375</v>
      </c>
      <c r="H622">
        <f>SQRT(Sayfa1!D622^2+Sayfa1!E622^2)</f>
        <v>3.023450307424659</v>
      </c>
      <c r="I622">
        <f>SUM(Sayfa1!G599:G622)</f>
        <v>8.5978507995605469</v>
      </c>
    </row>
    <row r="623" spans="1:9" x14ac:dyDescent="0.3">
      <c r="A623">
        <v>-118.5</v>
      </c>
      <c r="B623">
        <v>34.25</v>
      </c>
      <c r="C623">
        <v>2025</v>
      </c>
      <c r="D623">
        <v>1</v>
      </c>
      <c r="E623">
        <v>26</v>
      </c>
      <c r="F623">
        <f>Sayfa1!C623-273.15</f>
        <v>10.246240234375023</v>
      </c>
      <c r="G623">
        <v>81.64410400390625</v>
      </c>
      <c r="H623">
        <f>SQRT(Sayfa1!D623^2+Sayfa1!E623^2)</f>
        <v>2.8480112902423165</v>
      </c>
      <c r="I623">
        <f>SUM(Sayfa1!G600:G623)</f>
        <v>9.7041130065917969</v>
      </c>
    </row>
    <row r="624" spans="1:9" x14ac:dyDescent="0.3">
      <c r="A624">
        <v>-118.5</v>
      </c>
      <c r="B624">
        <v>34.25</v>
      </c>
      <c r="C624">
        <v>2025</v>
      </c>
      <c r="D624">
        <v>1</v>
      </c>
      <c r="E624">
        <v>26</v>
      </c>
      <c r="F624">
        <f>Sayfa1!C624-273.15</f>
        <v>9.8505187988281477</v>
      </c>
      <c r="G624">
        <v>89.005813598632813</v>
      </c>
      <c r="H624">
        <f>SQRT(Sayfa1!D624^2+Sayfa1!E624^2)</f>
        <v>1.7988973823871741</v>
      </c>
      <c r="I624">
        <f>SUM(Sayfa1!G601:G624)</f>
        <v>11.644363403320313</v>
      </c>
    </row>
    <row r="625" spans="1:9" x14ac:dyDescent="0.3">
      <c r="A625">
        <v>-118.5</v>
      </c>
      <c r="B625">
        <v>34.25</v>
      </c>
      <c r="C625">
        <v>2025</v>
      </c>
      <c r="D625">
        <v>1</v>
      </c>
      <c r="E625">
        <v>26</v>
      </c>
      <c r="F625">
        <f>Sayfa1!C625-273.15</f>
        <v>9.4480529785156477</v>
      </c>
      <c r="G625">
        <v>78.906356811523438</v>
      </c>
      <c r="H625">
        <f>SQRT(Sayfa1!D625^2+Sayfa1!E625^2)</f>
        <v>2.4641070625712729</v>
      </c>
      <c r="I625">
        <f>SUM(Sayfa1!G602:G625)</f>
        <v>13.179302215576172</v>
      </c>
    </row>
    <row r="626" spans="1:9" x14ac:dyDescent="0.3">
      <c r="A626">
        <v>-118.5</v>
      </c>
      <c r="B626">
        <v>34.25</v>
      </c>
      <c r="C626">
        <v>2025</v>
      </c>
      <c r="D626">
        <v>1</v>
      </c>
      <c r="E626">
        <v>27</v>
      </c>
      <c r="F626">
        <f>Sayfa1!C626-273.15</f>
        <v>9.3091674804687727</v>
      </c>
      <c r="G626">
        <v>82.326934814453125</v>
      </c>
      <c r="H626">
        <f>SQRT(Sayfa1!D626^2+Sayfa1!E626^2)</f>
        <v>1.9055790106836894</v>
      </c>
      <c r="I626">
        <f>SUM(Sayfa1!G603:G626)</f>
        <v>14.235973358154297</v>
      </c>
    </row>
    <row r="627" spans="1:9" x14ac:dyDescent="0.3">
      <c r="A627">
        <v>-118.5</v>
      </c>
      <c r="B627">
        <v>34.25</v>
      </c>
      <c r="C627">
        <v>2025</v>
      </c>
      <c r="D627">
        <v>1</v>
      </c>
      <c r="E627">
        <v>27</v>
      </c>
      <c r="F627">
        <f>Sayfa1!C627-273.15</f>
        <v>9.6301513671875227</v>
      </c>
      <c r="G627">
        <v>88.83551025390625</v>
      </c>
      <c r="H627">
        <f>SQRT(Sayfa1!D627^2+Sayfa1!E627^2)</f>
        <v>1.7138732188681089</v>
      </c>
      <c r="I627">
        <f>SUM(Sayfa1!G604:G627)</f>
        <v>14.514923095703125</v>
      </c>
    </row>
    <row r="628" spans="1:9" x14ac:dyDescent="0.3">
      <c r="A628">
        <v>-118.5</v>
      </c>
      <c r="B628">
        <v>34.25</v>
      </c>
      <c r="C628">
        <v>2025</v>
      </c>
      <c r="D628">
        <v>1</v>
      </c>
      <c r="E628">
        <v>27</v>
      </c>
      <c r="F628">
        <f>Sayfa1!C628-273.15</f>
        <v>9.5270629882812727</v>
      </c>
      <c r="G628">
        <v>90.764434814453125</v>
      </c>
      <c r="H628">
        <f>SQRT(Sayfa1!D628^2+Sayfa1!E628^2)</f>
        <v>1.3680686683433216</v>
      </c>
      <c r="I628">
        <f>SUM(Sayfa1!G605:G628)</f>
        <v>14.690399169921875</v>
      </c>
    </row>
    <row r="629" spans="1:9" x14ac:dyDescent="0.3">
      <c r="A629">
        <v>-118.5</v>
      </c>
      <c r="B629">
        <v>34.25</v>
      </c>
      <c r="C629">
        <v>2025</v>
      </c>
      <c r="D629">
        <v>1</v>
      </c>
      <c r="E629">
        <v>27</v>
      </c>
      <c r="F629">
        <f>Sayfa1!C629-273.15</f>
        <v>9.2502685546875227</v>
      </c>
      <c r="G629">
        <v>89.051193237304688</v>
      </c>
      <c r="H629">
        <f>SQRT(Sayfa1!D629^2+Sayfa1!E629^2)</f>
        <v>1.7458543317301771</v>
      </c>
      <c r="I629">
        <f>SUM(Sayfa1!G606:G629)</f>
        <v>14.951705932617188</v>
      </c>
    </row>
    <row r="630" spans="1:9" x14ac:dyDescent="0.3">
      <c r="A630">
        <v>-118.5</v>
      </c>
      <c r="B630">
        <v>34.25</v>
      </c>
      <c r="C630">
        <v>2025</v>
      </c>
      <c r="D630">
        <v>1</v>
      </c>
      <c r="E630">
        <v>27</v>
      </c>
      <c r="F630">
        <f>Sayfa1!C630-273.15</f>
        <v>8.9100585937500227</v>
      </c>
      <c r="G630">
        <v>89.3607177734375</v>
      </c>
      <c r="H630">
        <f>SQRT(Sayfa1!D630^2+Sayfa1!E630^2)</f>
        <v>1.9075750037176278</v>
      </c>
      <c r="I630">
        <f>SUM(Sayfa1!G607:G630)</f>
        <v>14.783859252929688</v>
      </c>
    </row>
    <row r="631" spans="1:9" x14ac:dyDescent="0.3">
      <c r="A631">
        <v>-118.5</v>
      </c>
      <c r="B631">
        <v>34.25</v>
      </c>
      <c r="C631">
        <v>2025</v>
      </c>
      <c r="D631">
        <v>1</v>
      </c>
      <c r="E631">
        <v>27</v>
      </c>
      <c r="F631">
        <f>Sayfa1!C631-273.15</f>
        <v>8.2905517578125227</v>
      </c>
      <c r="G631">
        <v>89.216094970703125</v>
      </c>
      <c r="H631">
        <f>SQRT(Sayfa1!D631^2+Sayfa1!E631^2)</f>
        <v>2.0129897040785569</v>
      </c>
      <c r="I631">
        <f>SUM(Sayfa1!G608:G631)</f>
        <v>14.651298522949219</v>
      </c>
    </row>
    <row r="632" spans="1:9" x14ac:dyDescent="0.3">
      <c r="A632">
        <v>-118.5</v>
      </c>
      <c r="B632">
        <v>34.25</v>
      </c>
      <c r="C632">
        <v>2025</v>
      </c>
      <c r="D632">
        <v>1</v>
      </c>
      <c r="E632">
        <v>27</v>
      </c>
      <c r="F632">
        <f>Sayfa1!C632-273.15</f>
        <v>7.3188110351562727</v>
      </c>
      <c r="G632">
        <v>91.258377075195313</v>
      </c>
      <c r="H632">
        <f>SQRT(Sayfa1!D632^2+Sayfa1!E632^2)</f>
        <v>1.9992987146094636</v>
      </c>
      <c r="I632">
        <f>SUM(Sayfa1!G609:G632)</f>
        <v>14.421939849853516</v>
      </c>
    </row>
    <row r="633" spans="1:9" x14ac:dyDescent="0.3">
      <c r="A633">
        <v>-118.5</v>
      </c>
      <c r="B633">
        <v>34.25</v>
      </c>
      <c r="C633">
        <v>2025</v>
      </c>
      <c r="D633">
        <v>1</v>
      </c>
      <c r="E633">
        <v>27</v>
      </c>
      <c r="F633">
        <f>Sayfa1!C633-273.15</f>
        <v>6.6475463867187727</v>
      </c>
      <c r="G633">
        <v>94.713287353515625</v>
      </c>
      <c r="H633">
        <f>SQRT(Sayfa1!D633^2+Sayfa1!E633^2)</f>
        <v>2.0056715365892908</v>
      </c>
      <c r="I633">
        <f>SUM(Sayfa1!G610:G633)</f>
        <v>15.187740325927734</v>
      </c>
    </row>
    <row r="634" spans="1:9" x14ac:dyDescent="0.3">
      <c r="A634">
        <v>-118.5</v>
      </c>
      <c r="B634">
        <v>34.25</v>
      </c>
      <c r="C634">
        <v>2025</v>
      </c>
      <c r="D634">
        <v>1</v>
      </c>
      <c r="E634">
        <v>27</v>
      </c>
      <c r="F634">
        <f>Sayfa1!C634-273.15</f>
        <v>6.4757324218750227</v>
      </c>
      <c r="G634">
        <v>94.7537841796875</v>
      </c>
      <c r="H634">
        <f>SQRT(Sayfa1!D634^2+Sayfa1!E634^2)</f>
        <v>1.9592817144806725</v>
      </c>
      <c r="I634">
        <f>SUM(Sayfa1!G611:G634)</f>
        <v>15.309333801269531</v>
      </c>
    </row>
    <row r="635" spans="1:9" x14ac:dyDescent="0.3">
      <c r="A635">
        <v>-118.5</v>
      </c>
      <c r="B635">
        <v>34.25</v>
      </c>
      <c r="C635">
        <v>2025</v>
      </c>
      <c r="D635">
        <v>1</v>
      </c>
      <c r="E635">
        <v>27</v>
      </c>
      <c r="F635">
        <f>Sayfa1!C635-273.15</f>
        <v>6.8003784179687727</v>
      </c>
      <c r="G635">
        <v>93.906692504882813</v>
      </c>
      <c r="H635">
        <f>SQRT(Sayfa1!D635^2+Sayfa1!E635^2)</f>
        <v>1.889238079497032</v>
      </c>
      <c r="I635">
        <f>SUM(Sayfa1!G612:G635)</f>
        <v>15.083789825439453</v>
      </c>
    </row>
    <row r="636" spans="1:9" x14ac:dyDescent="0.3">
      <c r="A636">
        <v>-118.5</v>
      </c>
      <c r="B636">
        <v>34.25</v>
      </c>
      <c r="C636">
        <v>2025</v>
      </c>
      <c r="D636">
        <v>1</v>
      </c>
      <c r="E636">
        <v>27</v>
      </c>
      <c r="F636">
        <f>Sayfa1!C636-273.15</f>
        <v>8.1688781738281477</v>
      </c>
      <c r="G636">
        <v>91.927886962890625</v>
      </c>
      <c r="H636">
        <f>SQRT(Sayfa1!D636^2+Sayfa1!E636^2)</f>
        <v>1.9561784615710094</v>
      </c>
      <c r="I636">
        <f>SUM(Sayfa1!G613:G636)</f>
        <v>14.781951904296875</v>
      </c>
    </row>
    <row r="637" spans="1:9" x14ac:dyDescent="0.3">
      <c r="A637">
        <v>-118.5</v>
      </c>
      <c r="B637">
        <v>34.25</v>
      </c>
      <c r="C637">
        <v>2025</v>
      </c>
      <c r="D637">
        <v>1</v>
      </c>
      <c r="E637">
        <v>27</v>
      </c>
      <c r="F637">
        <f>Sayfa1!C637-273.15</f>
        <v>8.3160339355468977</v>
      </c>
      <c r="G637">
        <v>93.028411865234375</v>
      </c>
      <c r="H637">
        <f>SQRT(Sayfa1!D637^2+Sayfa1!E637^2)</f>
        <v>1.965713953202838</v>
      </c>
      <c r="I637">
        <f>SUM(Sayfa1!G614:G637)</f>
        <v>14.7552490234375</v>
      </c>
    </row>
    <row r="638" spans="1:9" x14ac:dyDescent="0.3">
      <c r="A638">
        <v>-118.5</v>
      </c>
      <c r="B638">
        <v>34.25</v>
      </c>
      <c r="C638">
        <v>2025</v>
      </c>
      <c r="D638">
        <v>1</v>
      </c>
      <c r="E638">
        <v>27</v>
      </c>
      <c r="F638">
        <f>Sayfa1!C638-273.15</f>
        <v>8.4619689941406477</v>
      </c>
      <c r="G638">
        <v>93.279754638671875</v>
      </c>
      <c r="H638">
        <f>SQRT(Sayfa1!D638^2+Sayfa1!E638^2)</f>
        <v>2.0170844119429834</v>
      </c>
      <c r="I638">
        <f>SUM(Sayfa1!G615:G638)</f>
        <v>14.422416687011719</v>
      </c>
    </row>
    <row r="639" spans="1:9" x14ac:dyDescent="0.3">
      <c r="A639">
        <v>-118.5</v>
      </c>
      <c r="B639">
        <v>34.25</v>
      </c>
      <c r="C639">
        <v>2025</v>
      </c>
      <c r="D639">
        <v>1</v>
      </c>
      <c r="E639">
        <v>27</v>
      </c>
      <c r="F639">
        <f>Sayfa1!C639-273.15</f>
        <v>8.5641113281250227</v>
      </c>
      <c r="G639">
        <v>93.873046875</v>
      </c>
      <c r="H639">
        <f>SQRT(Sayfa1!D639^2+Sayfa1!E639^2)</f>
        <v>2.0020687331569897</v>
      </c>
      <c r="I639">
        <f>SUM(Sayfa1!G616:G639)</f>
        <v>14.358997344970703</v>
      </c>
    </row>
    <row r="640" spans="1:9" x14ac:dyDescent="0.3">
      <c r="A640">
        <v>-118.5</v>
      </c>
      <c r="B640">
        <v>34.25</v>
      </c>
      <c r="C640">
        <v>2025</v>
      </c>
      <c r="D640">
        <v>1</v>
      </c>
      <c r="E640">
        <v>27</v>
      </c>
      <c r="F640">
        <f>Sayfa1!C640-273.15</f>
        <v>8.5830932617187727</v>
      </c>
      <c r="G640">
        <v>93.835739135742188</v>
      </c>
      <c r="H640">
        <f>SQRT(Sayfa1!D640^2+Sayfa1!E640^2)</f>
        <v>2.0492534377826765</v>
      </c>
      <c r="I640">
        <f>SUM(Sayfa1!G617:G640)</f>
        <v>14.431476593017578</v>
      </c>
    </row>
    <row r="641" spans="1:9" x14ac:dyDescent="0.3">
      <c r="A641">
        <v>-118.5</v>
      </c>
      <c r="B641">
        <v>34.25</v>
      </c>
      <c r="C641">
        <v>2025</v>
      </c>
      <c r="D641">
        <v>1</v>
      </c>
      <c r="E641">
        <v>27</v>
      </c>
      <c r="F641">
        <f>Sayfa1!C641-273.15</f>
        <v>8.5407043457031477</v>
      </c>
      <c r="G641">
        <v>93.827194213867188</v>
      </c>
      <c r="H641">
        <f>SQRT(Sayfa1!D641^2+Sayfa1!E641^2)</f>
        <v>2.0226503697457558</v>
      </c>
      <c r="I641">
        <f>SUM(Sayfa1!G618:G641)</f>
        <v>14.233112335205078</v>
      </c>
    </row>
    <row r="642" spans="1:9" x14ac:dyDescent="0.3">
      <c r="A642">
        <v>-118.5</v>
      </c>
      <c r="B642">
        <v>34.25</v>
      </c>
      <c r="C642">
        <v>2025</v>
      </c>
      <c r="D642">
        <v>1</v>
      </c>
      <c r="E642">
        <v>27</v>
      </c>
      <c r="F642">
        <f>Sayfa1!C642-273.15</f>
        <v>8.5245605468750227</v>
      </c>
      <c r="G642">
        <v>95.29559326171875</v>
      </c>
      <c r="H642">
        <f>SQRT(Sayfa1!D642^2+Sayfa1!E642^2)</f>
        <v>1.6974080680192447</v>
      </c>
      <c r="I642">
        <f>SUM(Sayfa1!G619:G642)</f>
        <v>13.645172119140625</v>
      </c>
    </row>
    <row r="643" spans="1:9" x14ac:dyDescent="0.3">
      <c r="A643">
        <v>-118.5</v>
      </c>
      <c r="B643">
        <v>34.25</v>
      </c>
      <c r="C643">
        <v>2025</v>
      </c>
      <c r="D643">
        <v>1</v>
      </c>
      <c r="E643">
        <v>27</v>
      </c>
      <c r="F643">
        <f>Sayfa1!C643-273.15</f>
        <v>8.5345703125000227</v>
      </c>
      <c r="G643">
        <v>87.573455810546875</v>
      </c>
      <c r="H643">
        <f>SQRT(Sayfa1!D643^2+Sayfa1!E643^2)</f>
        <v>1.442497422956921</v>
      </c>
      <c r="I643">
        <f>SUM(Sayfa1!G620:G643)</f>
        <v>13.210773468017578</v>
      </c>
    </row>
    <row r="644" spans="1:9" x14ac:dyDescent="0.3">
      <c r="A644">
        <v>-118.5</v>
      </c>
      <c r="B644">
        <v>34.25</v>
      </c>
      <c r="C644">
        <v>2025</v>
      </c>
      <c r="D644">
        <v>1</v>
      </c>
      <c r="E644">
        <v>27</v>
      </c>
      <c r="F644">
        <f>Sayfa1!C644-273.15</f>
        <v>9.4755798339843977</v>
      </c>
      <c r="G644">
        <v>71.07098388671875</v>
      </c>
      <c r="H644">
        <f>SQRT(Sayfa1!D644^2+Sayfa1!E644^2)</f>
        <v>1.304842807790048</v>
      </c>
      <c r="I644">
        <f>SUM(Sayfa1!G621:G644)</f>
        <v>12.349605560302734</v>
      </c>
    </row>
    <row r="645" spans="1:9" x14ac:dyDescent="0.3">
      <c r="A645">
        <v>-118.5</v>
      </c>
      <c r="B645">
        <v>34.25</v>
      </c>
      <c r="C645">
        <v>2025</v>
      </c>
      <c r="D645">
        <v>1</v>
      </c>
      <c r="E645">
        <v>27</v>
      </c>
      <c r="F645">
        <f>Sayfa1!C645-273.15</f>
        <v>10.637567138671898</v>
      </c>
      <c r="G645">
        <v>59.617111206054688</v>
      </c>
      <c r="H645">
        <f>SQRT(Sayfa1!D645^2+Sayfa1!E645^2)</f>
        <v>1.6967007503786282</v>
      </c>
      <c r="I645">
        <f>SUM(Sayfa1!G622:G645)</f>
        <v>10.619640350341797</v>
      </c>
    </row>
    <row r="646" spans="1:9" x14ac:dyDescent="0.3">
      <c r="A646">
        <v>-118.5</v>
      </c>
      <c r="B646">
        <v>34.25</v>
      </c>
      <c r="C646">
        <v>2025</v>
      </c>
      <c r="D646">
        <v>1</v>
      </c>
      <c r="E646">
        <v>27</v>
      </c>
      <c r="F646">
        <f>Sayfa1!C646-273.15</f>
        <v>11.925927734375023</v>
      </c>
      <c r="G646">
        <v>49.1011962890625</v>
      </c>
      <c r="H646">
        <f>SQRT(Sayfa1!D646^2+Sayfa1!E646^2)</f>
        <v>2.1859473408282564</v>
      </c>
      <c r="I646">
        <f>SUM(Sayfa1!G623:G646)</f>
        <v>9.8834037780761719</v>
      </c>
    </row>
    <row r="647" spans="1:9" x14ac:dyDescent="0.3">
      <c r="A647">
        <v>-118.5</v>
      </c>
      <c r="B647">
        <v>34.25</v>
      </c>
      <c r="C647">
        <v>2025</v>
      </c>
      <c r="D647">
        <v>1</v>
      </c>
      <c r="E647">
        <v>27</v>
      </c>
      <c r="F647">
        <f>Sayfa1!C647-273.15</f>
        <v>12.634362792968773</v>
      </c>
      <c r="G647">
        <v>44.482711791992188</v>
      </c>
      <c r="H647">
        <f>SQRT(Sayfa1!D647^2+Sayfa1!E647^2)</f>
        <v>1.7882606115291824</v>
      </c>
      <c r="I647">
        <f>SUM(Sayfa1!G624:G647)</f>
        <v>8.7771415710449219</v>
      </c>
    </row>
    <row r="648" spans="1:9" x14ac:dyDescent="0.3">
      <c r="A648">
        <v>-118.5</v>
      </c>
      <c r="B648">
        <v>34.25</v>
      </c>
      <c r="C648">
        <v>2025</v>
      </c>
      <c r="D648">
        <v>1</v>
      </c>
      <c r="E648">
        <v>27</v>
      </c>
      <c r="F648">
        <f>Sayfa1!C648-273.15</f>
        <v>13.145715332031273</v>
      </c>
      <c r="G648">
        <v>42.213119506835938</v>
      </c>
      <c r="H648">
        <f>SQRT(Sayfa1!D648^2+Sayfa1!E648^2)</f>
        <v>1.1553607910268564</v>
      </c>
      <c r="I648">
        <f>SUM(Sayfa1!G625:G648)</f>
        <v>6.8368911743164063</v>
      </c>
    </row>
    <row r="649" spans="1:9" x14ac:dyDescent="0.3">
      <c r="A649">
        <v>-118.5</v>
      </c>
      <c r="B649">
        <v>34.25</v>
      </c>
      <c r="C649">
        <v>2025</v>
      </c>
      <c r="D649">
        <v>1</v>
      </c>
      <c r="E649">
        <v>27</v>
      </c>
      <c r="F649">
        <f>Sayfa1!C649-273.15</f>
        <v>13.592614746093773</v>
      </c>
      <c r="G649">
        <v>41.176528930664063</v>
      </c>
      <c r="H649">
        <f>SQRT(Sayfa1!D649^2+Sayfa1!E649^2)</f>
        <v>1.0704949410121811</v>
      </c>
      <c r="I649">
        <f>SUM(Sayfa1!G626:G649)</f>
        <v>5.3019523620605469</v>
      </c>
    </row>
    <row r="650" spans="1:9" x14ac:dyDescent="0.3">
      <c r="A650">
        <v>-118.5</v>
      </c>
      <c r="B650">
        <v>34.25</v>
      </c>
      <c r="C650">
        <v>2025</v>
      </c>
      <c r="D650">
        <v>1</v>
      </c>
      <c r="E650">
        <v>28</v>
      </c>
      <c r="F650">
        <f>Sayfa1!C650-273.15</f>
        <v>13.686517333984398</v>
      </c>
      <c r="G650">
        <v>41.805633544921875</v>
      </c>
      <c r="H650">
        <f>SQRT(Sayfa1!D650^2+Sayfa1!E650^2)</f>
        <v>0.6326336609788078</v>
      </c>
      <c r="I650">
        <f>SUM(Sayfa1!G627:G650)</f>
        <v>4.2390823364257813</v>
      </c>
    </row>
    <row r="651" spans="1:9" x14ac:dyDescent="0.3">
      <c r="A651">
        <v>-118.5</v>
      </c>
      <c r="B651">
        <v>34.25</v>
      </c>
      <c r="C651">
        <v>2025</v>
      </c>
      <c r="D651">
        <v>1</v>
      </c>
      <c r="E651">
        <v>28</v>
      </c>
      <c r="F651">
        <f>Sayfa1!C651-273.15</f>
        <v>13.157861328125023</v>
      </c>
      <c r="G651">
        <v>50.252944946289063</v>
      </c>
      <c r="H651">
        <f>SQRT(Sayfa1!D651^2+Sayfa1!E651^2)</f>
        <v>0.73748203711965643</v>
      </c>
      <c r="I651">
        <f>SUM(Sayfa1!G628:G651)</f>
        <v>3.9186477661132813</v>
      </c>
    </row>
    <row r="652" spans="1:9" x14ac:dyDescent="0.3">
      <c r="A652">
        <v>-118.5</v>
      </c>
      <c r="B652">
        <v>34.25</v>
      </c>
      <c r="C652">
        <v>2025</v>
      </c>
      <c r="D652">
        <v>1</v>
      </c>
      <c r="E652">
        <v>28</v>
      </c>
      <c r="F652">
        <f>Sayfa1!C652-273.15</f>
        <v>12.545190429687523</v>
      </c>
      <c r="G652">
        <v>57.510330200195313</v>
      </c>
      <c r="H652">
        <f>SQRT(Sayfa1!D652^2+Sayfa1!E652^2)</f>
        <v>0.68603202031732247</v>
      </c>
      <c r="I652">
        <f>SUM(Sayfa1!G629:G652)</f>
        <v>3.70025634765625</v>
      </c>
    </row>
    <row r="653" spans="1:9" x14ac:dyDescent="0.3">
      <c r="A653">
        <v>-118.5</v>
      </c>
      <c r="B653">
        <v>34.25</v>
      </c>
      <c r="C653">
        <v>2025</v>
      </c>
      <c r="D653">
        <v>1</v>
      </c>
      <c r="E653">
        <v>28</v>
      </c>
      <c r="F653">
        <f>Sayfa1!C653-273.15</f>
        <v>12.130944824218773</v>
      </c>
      <c r="G653">
        <v>62.052383422851563</v>
      </c>
      <c r="H653">
        <f>SQRT(Sayfa1!D653^2+Sayfa1!E653^2)</f>
        <v>0.40680044078170713</v>
      </c>
      <c r="I653">
        <f>SUM(Sayfa1!G630:G653)</f>
        <v>3.2639503479003906</v>
      </c>
    </row>
    <row r="654" spans="1:9" x14ac:dyDescent="0.3">
      <c r="A654">
        <v>-118.5</v>
      </c>
      <c r="B654">
        <v>34.25</v>
      </c>
      <c r="C654">
        <v>2025</v>
      </c>
      <c r="D654">
        <v>1</v>
      </c>
      <c r="E654">
        <v>28</v>
      </c>
      <c r="F654">
        <f>Sayfa1!C654-273.15</f>
        <v>11.835748291015648</v>
      </c>
      <c r="G654">
        <v>66.19122314453125</v>
      </c>
      <c r="H654">
        <f>SQRT(Sayfa1!D654^2+Sayfa1!E654^2)</f>
        <v>0.85734578419016128</v>
      </c>
      <c r="I654">
        <f>SUM(Sayfa1!G631:G654)</f>
        <v>3.0646324157714844</v>
      </c>
    </row>
    <row r="655" spans="1:9" x14ac:dyDescent="0.3">
      <c r="A655">
        <v>-118.5</v>
      </c>
      <c r="B655">
        <v>34.25</v>
      </c>
      <c r="C655">
        <v>2025</v>
      </c>
      <c r="D655">
        <v>1</v>
      </c>
      <c r="E655">
        <v>28</v>
      </c>
      <c r="F655">
        <f>Sayfa1!C655-273.15</f>
        <v>11.697198486328148</v>
      </c>
      <c r="G655">
        <v>71.33941650390625</v>
      </c>
      <c r="H655">
        <f>SQRT(Sayfa1!D655^2+Sayfa1!E655^2)</f>
        <v>1.5027581765993521</v>
      </c>
      <c r="I655">
        <f>SUM(Sayfa1!G632:G655)</f>
        <v>2.8467178344726563</v>
      </c>
    </row>
    <row r="656" spans="1:9" x14ac:dyDescent="0.3">
      <c r="A656">
        <v>-118.5</v>
      </c>
      <c r="B656">
        <v>34.25</v>
      </c>
      <c r="C656">
        <v>2025</v>
      </c>
      <c r="D656">
        <v>1</v>
      </c>
      <c r="E656">
        <v>28</v>
      </c>
      <c r="F656">
        <f>Sayfa1!C656-273.15</f>
        <v>11.599603271484398</v>
      </c>
      <c r="G656">
        <v>79.799301147460938</v>
      </c>
      <c r="H656">
        <f>SQRT(Sayfa1!D656^2+Sayfa1!E656^2)</f>
        <v>1.8755835460158792</v>
      </c>
      <c r="I656">
        <f>SUM(Sayfa1!G633:G656)</f>
        <v>2.7375221252441406</v>
      </c>
    </row>
    <row r="657" spans="1:9" x14ac:dyDescent="0.3">
      <c r="A657">
        <v>-118.5</v>
      </c>
      <c r="B657">
        <v>34.25</v>
      </c>
      <c r="C657">
        <v>2025</v>
      </c>
      <c r="D657">
        <v>1</v>
      </c>
      <c r="E657">
        <v>28</v>
      </c>
      <c r="F657">
        <f>Sayfa1!C657-273.15</f>
        <v>11.338494873046898</v>
      </c>
      <c r="G657">
        <v>86.31298828125</v>
      </c>
      <c r="H657">
        <f>SQRT(Sayfa1!D657^2+Sayfa1!E657^2)</f>
        <v>1.9423917015130245</v>
      </c>
      <c r="I657">
        <f>SUM(Sayfa1!G634:G657)</f>
        <v>1.4934539794921875</v>
      </c>
    </row>
    <row r="658" spans="1:9" x14ac:dyDescent="0.3">
      <c r="A658">
        <v>-118.5</v>
      </c>
      <c r="B658">
        <v>34.25</v>
      </c>
      <c r="C658">
        <v>2025</v>
      </c>
      <c r="D658">
        <v>1</v>
      </c>
      <c r="E658">
        <v>28</v>
      </c>
      <c r="F658">
        <f>Sayfa1!C658-273.15</f>
        <v>11.231469726562523</v>
      </c>
      <c r="G658">
        <v>88.233673095703125</v>
      </c>
      <c r="H658">
        <f>SQRT(Sayfa1!D658^2+Sayfa1!E658^2)</f>
        <v>2.002354649366842</v>
      </c>
      <c r="I658">
        <f>SUM(Sayfa1!G635:G658)</f>
        <v>0.92649459838867188</v>
      </c>
    </row>
    <row r="659" spans="1:9" x14ac:dyDescent="0.3">
      <c r="A659">
        <v>-118.5</v>
      </c>
      <c r="B659">
        <v>34.25</v>
      </c>
      <c r="C659">
        <v>2025</v>
      </c>
      <c r="D659">
        <v>1</v>
      </c>
      <c r="E659">
        <v>28</v>
      </c>
      <c r="F659">
        <f>Sayfa1!C659-273.15</f>
        <v>11.159936523437523</v>
      </c>
      <c r="G659">
        <v>87.732070922851563</v>
      </c>
      <c r="H659">
        <f>SQRT(Sayfa1!D659^2+Sayfa1!E659^2)</f>
        <v>2.0763745631767923</v>
      </c>
      <c r="I659">
        <f>SUM(Sayfa1!G636:G659)</f>
        <v>0.72145462036132813</v>
      </c>
    </row>
    <row r="660" spans="1:9" x14ac:dyDescent="0.3">
      <c r="A660">
        <v>-118.5</v>
      </c>
      <c r="B660">
        <v>34.25</v>
      </c>
      <c r="C660">
        <v>2025</v>
      </c>
      <c r="D660">
        <v>1</v>
      </c>
      <c r="E660">
        <v>28</v>
      </c>
      <c r="F660">
        <f>Sayfa1!C660-273.15</f>
        <v>10.508935546875023</v>
      </c>
      <c r="G660">
        <v>91.228408813476563</v>
      </c>
      <c r="H660">
        <f>SQRT(Sayfa1!D660^2+Sayfa1!E660^2)</f>
        <v>2.2575604107171139</v>
      </c>
      <c r="I660">
        <f>SUM(Sayfa1!G637:G660)</f>
        <v>0.61750411987304688</v>
      </c>
    </row>
    <row r="661" spans="1:9" x14ac:dyDescent="0.3">
      <c r="A661">
        <v>-118.5</v>
      </c>
      <c r="B661">
        <v>34.25</v>
      </c>
      <c r="C661">
        <v>2025</v>
      </c>
      <c r="D661">
        <v>1</v>
      </c>
      <c r="E661">
        <v>28</v>
      </c>
      <c r="F661">
        <f>Sayfa1!C661-273.15</f>
        <v>10.517907714843773</v>
      </c>
      <c r="G661">
        <v>85.815353393554688</v>
      </c>
      <c r="H661">
        <f>SQRT(Sayfa1!D661^2+Sayfa1!E661^2)</f>
        <v>2.1555320289590592</v>
      </c>
      <c r="I661">
        <f>SUM(Sayfa1!G638:G661)</f>
        <v>0.54311752319335938</v>
      </c>
    </row>
    <row r="662" spans="1:9" x14ac:dyDescent="0.3">
      <c r="A662">
        <v>-118.5</v>
      </c>
      <c r="B662">
        <v>34.25</v>
      </c>
      <c r="C662">
        <v>2025</v>
      </c>
      <c r="D662">
        <v>1</v>
      </c>
      <c r="E662">
        <v>28</v>
      </c>
      <c r="F662">
        <f>Sayfa1!C662-273.15</f>
        <v>10.475610351562523</v>
      </c>
      <c r="G662">
        <v>82.763168334960938</v>
      </c>
      <c r="H662">
        <f>SQRT(Sayfa1!D662^2+Sayfa1!E662^2)</f>
        <v>2.0936758421128081</v>
      </c>
      <c r="I662">
        <f>SUM(Sayfa1!G639:G662)</f>
        <v>0.4711151123046875</v>
      </c>
    </row>
    <row r="663" spans="1:9" x14ac:dyDescent="0.3">
      <c r="A663">
        <v>-118.5</v>
      </c>
      <c r="B663">
        <v>34.25</v>
      </c>
      <c r="C663">
        <v>2025</v>
      </c>
      <c r="D663">
        <v>1</v>
      </c>
      <c r="E663">
        <v>28</v>
      </c>
      <c r="F663">
        <f>Sayfa1!C663-273.15</f>
        <v>10.508874511718773</v>
      </c>
      <c r="G663">
        <v>80.72845458984375</v>
      </c>
      <c r="H663">
        <f>SQRT(Sayfa1!D663^2+Sayfa1!E663^2)</f>
        <v>2.2151585885808021</v>
      </c>
      <c r="I663">
        <f>SUM(Sayfa1!G640:G663)</f>
        <v>0.38576126098632813</v>
      </c>
    </row>
    <row r="664" spans="1:9" x14ac:dyDescent="0.3">
      <c r="A664">
        <v>-118.5</v>
      </c>
      <c r="B664">
        <v>34.25</v>
      </c>
      <c r="C664">
        <v>2025</v>
      </c>
      <c r="D664">
        <v>1</v>
      </c>
      <c r="E664">
        <v>28</v>
      </c>
      <c r="F664">
        <f>Sayfa1!C664-273.15</f>
        <v>10.555505371093773</v>
      </c>
      <c r="G664">
        <v>80.040573120117188</v>
      </c>
      <c r="H664">
        <f>SQRT(Sayfa1!D664^2+Sayfa1!E664^2)</f>
        <v>2.1808843250519763</v>
      </c>
      <c r="I664">
        <f>SUM(Sayfa1!G641:G664)</f>
        <v>0.19025802612304688</v>
      </c>
    </row>
    <row r="665" spans="1:9" x14ac:dyDescent="0.3">
      <c r="A665">
        <v>-118.5</v>
      </c>
      <c r="B665">
        <v>34.25</v>
      </c>
      <c r="C665">
        <v>2025</v>
      </c>
      <c r="D665">
        <v>1</v>
      </c>
      <c r="E665">
        <v>28</v>
      </c>
      <c r="F665">
        <f>Sayfa1!C665-273.15</f>
        <v>10.377282714843773</v>
      </c>
      <c r="G665">
        <v>80.132614135742188</v>
      </c>
      <c r="H665">
        <f>SQRT(Sayfa1!D665^2+Sayfa1!E665^2)</f>
        <v>2.0867292193343312</v>
      </c>
      <c r="I665">
        <f>SUM(Sayfa1!G642:G665)</f>
        <v>9.3936920166015625E-2</v>
      </c>
    </row>
    <row r="666" spans="1:9" x14ac:dyDescent="0.3">
      <c r="A666">
        <v>-118.5</v>
      </c>
      <c r="B666">
        <v>34.25</v>
      </c>
      <c r="C666">
        <v>2025</v>
      </c>
      <c r="D666">
        <v>1</v>
      </c>
      <c r="E666">
        <v>28</v>
      </c>
      <c r="F666">
        <f>Sayfa1!C666-273.15</f>
        <v>10.073815917968773</v>
      </c>
      <c r="G666">
        <v>77.732406616210938</v>
      </c>
      <c r="H666">
        <f>SQRT(Sayfa1!D666^2+Sayfa1!E666^2)</f>
        <v>1.7481939662152053</v>
      </c>
      <c r="I666">
        <f>SUM(Sayfa1!G643:G666)</f>
        <v>1.430511474609375E-3</v>
      </c>
    </row>
    <row r="667" spans="1:9" x14ac:dyDescent="0.3">
      <c r="A667">
        <v>-118.5</v>
      </c>
      <c r="B667">
        <v>34.25</v>
      </c>
      <c r="C667">
        <v>2025</v>
      </c>
      <c r="D667">
        <v>1</v>
      </c>
      <c r="E667">
        <v>28</v>
      </c>
      <c r="F667">
        <f>Sayfa1!C667-273.15</f>
        <v>9.8814941406250227</v>
      </c>
      <c r="G667">
        <v>63.737838745117188</v>
      </c>
      <c r="H667">
        <f>SQRT(Sayfa1!D667^2+Sayfa1!E667^2)</f>
        <v>1.2812683447427335</v>
      </c>
      <c r="I667">
        <f>SUM(Sayfa1!G644:G667)</f>
        <v>4.76837158203125E-4</v>
      </c>
    </row>
    <row r="668" spans="1:9" x14ac:dyDescent="0.3">
      <c r="A668">
        <v>-118.5</v>
      </c>
      <c r="B668">
        <v>34.25</v>
      </c>
      <c r="C668">
        <v>2025</v>
      </c>
      <c r="D668">
        <v>1</v>
      </c>
      <c r="E668">
        <v>28</v>
      </c>
      <c r="F668">
        <f>Sayfa1!C668-273.15</f>
        <v>11.116113281250023</v>
      </c>
      <c r="G668">
        <v>50.21356201171875</v>
      </c>
      <c r="H668">
        <f>SQRT(Sayfa1!D668^2+Sayfa1!E668^2)</f>
        <v>0.44311358580269489</v>
      </c>
      <c r="I668">
        <f>SUM(Sayfa1!G645:G668)</f>
        <v>4.76837158203125E-4</v>
      </c>
    </row>
    <row r="669" spans="1:9" x14ac:dyDescent="0.3">
      <c r="A669">
        <v>-118.5</v>
      </c>
      <c r="B669">
        <v>34.25</v>
      </c>
      <c r="C669">
        <v>2025</v>
      </c>
      <c r="D669">
        <v>1</v>
      </c>
      <c r="E669">
        <v>28</v>
      </c>
      <c r="F669">
        <f>Sayfa1!C669-273.15</f>
        <v>12.675073242187523</v>
      </c>
      <c r="G669">
        <v>44.004974365234375</v>
      </c>
      <c r="H669">
        <f>SQRT(Sayfa1!D669^2+Sayfa1!E669^2)</f>
        <v>0.86594489905818761</v>
      </c>
      <c r="I669">
        <f>SUM(Sayfa1!G646:G669)</f>
        <v>0</v>
      </c>
    </row>
    <row r="670" spans="1:9" x14ac:dyDescent="0.3">
      <c r="A670">
        <v>-118.5</v>
      </c>
      <c r="B670">
        <v>34.25</v>
      </c>
      <c r="C670">
        <v>2025</v>
      </c>
      <c r="D670">
        <v>1</v>
      </c>
      <c r="E670">
        <v>28</v>
      </c>
      <c r="F670">
        <f>Sayfa1!C670-273.15</f>
        <v>13.554833984375023</v>
      </c>
      <c r="G670">
        <v>42.966629028320313</v>
      </c>
      <c r="H670">
        <f>SQRT(Sayfa1!D670^2+Sayfa1!E670^2)</f>
        <v>1.9039479000717461</v>
      </c>
      <c r="I670">
        <f>SUM(Sayfa1!G647:G670)</f>
        <v>0</v>
      </c>
    </row>
    <row r="671" spans="1:9" x14ac:dyDescent="0.3">
      <c r="A671">
        <v>-118.5</v>
      </c>
      <c r="B671">
        <v>34.25</v>
      </c>
      <c r="C671">
        <v>2025</v>
      </c>
      <c r="D671">
        <v>1</v>
      </c>
      <c r="E671">
        <v>28</v>
      </c>
      <c r="F671">
        <f>Sayfa1!C671-273.15</f>
        <v>13.895471191406273</v>
      </c>
      <c r="G671">
        <v>45.934585571289063</v>
      </c>
      <c r="H671">
        <f>SQRT(Sayfa1!D671^2+Sayfa1!E671^2)</f>
        <v>2.6803705312273327</v>
      </c>
      <c r="I671">
        <f>SUM(Sayfa1!G648:G671)</f>
        <v>0</v>
      </c>
    </row>
    <row r="672" spans="1:9" x14ac:dyDescent="0.3">
      <c r="A672">
        <v>-118.5</v>
      </c>
      <c r="B672">
        <v>34.25</v>
      </c>
      <c r="C672">
        <v>2025</v>
      </c>
      <c r="D672">
        <v>1</v>
      </c>
      <c r="E672">
        <v>28</v>
      </c>
      <c r="F672">
        <f>Sayfa1!C672-273.15</f>
        <v>13.954858398437523</v>
      </c>
      <c r="G672">
        <v>53.057357788085938</v>
      </c>
      <c r="H672">
        <f>SQRT(Sayfa1!D672^2+Sayfa1!E672^2)</f>
        <v>2.8921283828924715</v>
      </c>
      <c r="I672">
        <f>SUM(Sayfa1!G649:G672)</f>
        <v>0</v>
      </c>
    </row>
    <row r="673" spans="1:9" x14ac:dyDescent="0.3">
      <c r="A673">
        <v>-118.5</v>
      </c>
      <c r="B673">
        <v>34.25</v>
      </c>
      <c r="C673">
        <v>2025</v>
      </c>
      <c r="D673">
        <v>1</v>
      </c>
      <c r="E673">
        <v>28</v>
      </c>
      <c r="F673">
        <f>Sayfa1!C673-273.15</f>
        <v>13.574060058593773</v>
      </c>
      <c r="G673">
        <v>61.021133422851563</v>
      </c>
      <c r="H673">
        <f>SQRT(Sayfa1!D673^2+Sayfa1!E673^2)</f>
        <v>3.0698550536601963</v>
      </c>
      <c r="I673">
        <f>SUM(Sayfa1!G650:G673)</f>
        <v>0</v>
      </c>
    </row>
    <row r="674" spans="1:9" x14ac:dyDescent="0.3">
      <c r="A674">
        <v>-118.5</v>
      </c>
      <c r="B674">
        <v>34.25</v>
      </c>
      <c r="C674">
        <v>2025</v>
      </c>
      <c r="D674">
        <v>1</v>
      </c>
      <c r="E674">
        <v>29</v>
      </c>
      <c r="F674">
        <f>Sayfa1!C674-273.15</f>
        <v>13.089257812500023</v>
      </c>
      <c r="G674">
        <v>69.190475463867188</v>
      </c>
      <c r="H674">
        <f>SQRT(Sayfa1!D674^2+Sayfa1!E674^2)</f>
        <v>2.7985490680131417</v>
      </c>
      <c r="I674">
        <f>SUM(Sayfa1!G651:G674)</f>
        <v>0</v>
      </c>
    </row>
    <row r="675" spans="1:9" x14ac:dyDescent="0.3">
      <c r="A675">
        <v>-118.5</v>
      </c>
      <c r="B675">
        <v>34.25</v>
      </c>
      <c r="C675">
        <v>2025</v>
      </c>
      <c r="D675">
        <v>1</v>
      </c>
      <c r="E675">
        <v>29</v>
      </c>
      <c r="F675">
        <f>Sayfa1!C675-273.15</f>
        <v>12.387292480468773</v>
      </c>
      <c r="G675">
        <v>78.34588623046875</v>
      </c>
      <c r="H675">
        <f>SQRT(Sayfa1!D675^2+Sayfa1!E675^2)</f>
        <v>1.5334894260744236</v>
      </c>
      <c r="I675">
        <f>SUM(Sayfa1!G652:G675)</f>
        <v>0</v>
      </c>
    </row>
    <row r="676" spans="1:9" x14ac:dyDescent="0.3">
      <c r="A676">
        <v>-118.5</v>
      </c>
      <c r="B676">
        <v>34.25</v>
      </c>
      <c r="C676">
        <v>2025</v>
      </c>
      <c r="D676">
        <v>1</v>
      </c>
      <c r="E676">
        <v>29</v>
      </c>
      <c r="F676">
        <f>Sayfa1!C676-273.15</f>
        <v>11.787072753906273</v>
      </c>
      <c r="G676">
        <v>86.132415771484375</v>
      </c>
      <c r="H676">
        <f>SQRT(Sayfa1!D676^2+Sayfa1!E676^2)</f>
        <v>1.1306053978540069</v>
      </c>
      <c r="I676">
        <f>SUM(Sayfa1!G653:G676)</f>
        <v>0</v>
      </c>
    </row>
    <row r="677" spans="1:9" x14ac:dyDescent="0.3">
      <c r="A677">
        <v>-118.5</v>
      </c>
      <c r="B677">
        <v>34.25</v>
      </c>
      <c r="C677">
        <v>2025</v>
      </c>
      <c r="D677">
        <v>1</v>
      </c>
      <c r="E677">
        <v>29</v>
      </c>
      <c r="F677">
        <f>Sayfa1!C677-273.15</f>
        <v>11.288354492187523</v>
      </c>
      <c r="G677">
        <v>91.634933471679688</v>
      </c>
      <c r="H677">
        <f>SQRT(Sayfa1!D677^2+Sayfa1!E677^2)</f>
        <v>0.79563934593632946</v>
      </c>
      <c r="I677">
        <f>SUM(Sayfa1!G654:G677)</f>
        <v>0</v>
      </c>
    </row>
    <row r="678" spans="1:9" x14ac:dyDescent="0.3">
      <c r="A678">
        <v>-118.5</v>
      </c>
      <c r="B678">
        <v>34.25</v>
      </c>
      <c r="C678">
        <v>2025</v>
      </c>
      <c r="D678">
        <v>1</v>
      </c>
      <c r="E678">
        <v>29</v>
      </c>
      <c r="F678">
        <f>Sayfa1!C678-273.15</f>
        <v>10.915673828125023</v>
      </c>
      <c r="G678">
        <v>95.537063598632813</v>
      </c>
      <c r="H678">
        <f>SQRT(Sayfa1!D678^2+Sayfa1!E678^2)</f>
        <v>0.89948896293983238</v>
      </c>
      <c r="I678">
        <f>SUM(Sayfa1!G655:G678)</f>
        <v>0</v>
      </c>
    </row>
    <row r="679" spans="1:9" x14ac:dyDescent="0.3">
      <c r="A679">
        <v>-118.5</v>
      </c>
      <c r="B679">
        <v>34.25</v>
      </c>
      <c r="C679">
        <v>2025</v>
      </c>
      <c r="D679">
        <v>1</v>
      </c>
      <c r="E679">
        <v>29</v>
      </c>
      <c r="F679">
        <f>Sayfa1!C679-273.15</f>
        <v>10.765405273437523</v>
      </c>
      <c r="G679">
        <v>96.488006591796875</v>
      </c>
      <c r="H679">
        <f>SQRT(Sayfa1!D679^2+Sayfa1!E679^2)</f>
        <v>1.0896417408575176</v>
      </c>
      <c r="I679">
        <f>SUM(Sayfa1!G656:G679)</f>
        <v>4.76837158203125E-4</v>
      </c>
    </row>
    <row r="680" spans="1:9" x14ac:dyDescent="0.3">
      <c r="A680">
        <v>-118.5</v>
      </c>
      <c r="B680">
        <v>34.25</v>
      </c>
      <c r="C680">
        <v>2025</v>
      </c>
      <c r="D680">
        <v>1</v>
      </c>
      <c r="E680">
        <v>29</v>
      </c>
      <c r="F680">
        <f>Sayfa1!C680-273.15</f>
        <v>10.637963867187523</v>
      </c>
      <c r="G680">
        <v>97.398422241210938</v>
      </c>
      <c r="H680">
        <f>SQRT(Sayfa1!D680^2+Sayfa1!E680^2)</f>
        <v>1.2990260838288221</v>
      </c>
      <c r="I680">
        <f>SUM(Sayfa1!G657:G680)</f>
        <v>4.76837158203125E-4</v>
      </c>
    </row>
    <row r="681" spans="1:9" x14ac:dyDescent="0.3">
      <c r="A681">
        <v>-118.5</v>
      </c>
      <c r="B681">
        <v>34.25</v>
      </c>
      <c r="C681">
        <v>2025</v>
      </c>
      <c r="D681">
        <v>1</v>
      </c>
      <c r="E681">
        <v>29</v>
      </c>
      <c r="F681">
        <f>Sayfa1!C681-273.15</f>
        <v>10.522546386718773</v>
      </c>
      <c r="G681">
        <v>98.66326904296875</v>
      </c>
      <c r="H681">
        <f>SQRT(Sayfa1!D681^2+Sayfa1!E681^2)</f>
        <v>1.5297139593658322</v>
      </c>
      <c r="I681">
        <f>SUM(Sayfa1!G658:G681)</f>
        <v>4.76837158203125E-3</v>
      </c>
    </row>
    <row r="682" spans="1:9" x14ac:dyDescent="0.3">
      <c r="A682">
        <v>-118.5</v>
      </c>
      <c r="B682">
        <v>34.25</v>
      </c>
      <c r="C682">
        <v>2025</v>
      </c>
      <c r="D682">
        <v>1</v>
      </c>
      <c r="E682">
        <v>29</v>
      </c>
      <c r="F682">
        <f>Sayfa1!C682-273.15</f>
        <v>10.438165283203148</v>
      </c>
      <c r="G682">
        <v>99.92388916015625</v>
      </c>
      <c r="H682">
        <f>SQRT(Sayfa1!D682^2+Sayfa1!E682^2)</f>
        <v>1.7621791253532086</v>
      </c>
      <c r="I682">
        <f>SUM(Sayfa1!G659:G682)</f>
        <v>1.5735626220703125E-2</v>
      </c>
    </row>
    <row r="683" spans="1:9" x14ac:dyDescent="0.3">
      <c r="A683">
        <v>-118.5</v>
      </c>
      <c r="B683">
        <v>34.25</v>
      </c>
      <c r="C683">
        <v>2025</v>
      </c>
      <c r="D683">
        <v>1</v>
      </c>
      <c r="E683">
        <v>29</v>
      </c>
      <c r="F683">
        <f>Sayfa1!C683-273.15</f>
        <v>10.391656494140648</v>
      </c>
      <c r="G683">
        <v>99.196243286132813</v>
      </c>
      <c r="H683">
        <f>SQRT(Sayfa1!D683^2+Sayfa1!E683^2)</f>
        <v>1.8901760356034383</v>
      </c>
      <c r="I683">
        <f>SUM(Sayfa1!G660:G683)</f>
        <v>2.288818359375E-2</v>
      </c>
    </row>
    <row r="684" spans="1:9" x14ac:dyDescent="0.3">
      <c r="A684">
        <v>-118.5</v>
      </c>
      <c r="B684">
        <v>34.25</v>
      </c>
      <c r="C684">
        <v>2025</v>
      </c>
      <c r="D684">
        <v>1</v>
      </c>
      <c r="E684">
        <v>29</v>
      </c>
      <c r="F684">
        <f>Sayfa1!C684-273.15</f>
        <v>9.6067443847656477</v>
      </c>
      <c r="G684">
        <v>101.47160339355469</v>
      </c>
      <c r="H684">
        <f>SQRT(Sayfa1!D684^2+Sayfa1!E684^2)</f>
        <v>1.9077824394981482</v>
      </c>
      <c r="I684">
        <f>SUM(Sayfa1!G661:G684)</f>
        <v>2.4318695068359375E-2</v>
      </c>
    </row>
    <row r="685" spans="1:9" x14ac:dyDescent="0.3">
      <c r="A685">
        <v>-118.5</v>
      </c>
      <c r="B685">
        <v>34.25</v>
      </c>
      <c r="C685">
        <v>2025</v>
      </c>
      <c r="D685">
        <v>1</v>
      </c>
      <c r="E685">
        <v>29</v>
      </c>
      <c r="F685">
        <f>Sayfa1!C685-273.15</f>
        <v>9.7601867675781477</v>
      </c>
      <c r="G685">
        <v>101.68986511230469</v>
      </c>
      <c r="H685">
        <f>SQRT(Sayfa1!D685^2+Sayfa1!E685^2)</f>
        <v>1.7382816546418223</v>
      </c>
      <c r="I685">
        <f>SUM(Sayfa1!G662:G685)</f>
        <v>2.47955322265625E-2</v>
      </c>
    </row>
    <row r="686" spans="1:9" x14ac:dyDescent="0.3">
      <c r="A686">
        <v>-118.5</v>
      </c>
      <c r="B686">
        <v>34.25</v>
      </c>
      <c r="C686">
        <v>2025</v>
      </c>
      <c r="D686">
        <v>1</v>
      </c>
      <c r="E686">
        <v>29</v>
      </c>
      <c r="F686">
        <f>Sayfa1!C686-273.15</f>
        <v>9.8098388671875227</v>
      </c>
      <c r="G686">
        <v>99.205535888671875</v>
      </c>
      <c r="H686">
        <f>SQRT(Sayfa1!D686^2+Sayfa1!E686^2)</f>
        <v>1.5894017220870302</v>
      </c>
      <c r="I686">
        <f>SUM(Sayfa1!G663:G686)</f>
        <v>2.5272369384765625E-2</v>
      </c>
    </row>
    <row r="687" spans="1:9" x14ac:dyDescent="0.3">
      <c r="A687">
        <v>-118.5</v>
      </c>
      <c r="B687">
        <v>34.25</v>
      </c>
      <c r="C687">
        <v>2025</v>
      </c>
      <c r="D687">
        <v>1</v>
      </c>
      <c r="E687">
        <v>29</v>
      </c>
      <c r="F687">
        <f>Sayfa1!C687-273.15</f>
        <v>9.7365051269531477</v>
      </c>
      <c r="G687">
        <v>97.697677612304688</v>
      </c>
      <c r="H687">
        <f>SQRT(Sayfa1!D687^2+Sayfa1!E687^2)</f>
        <v>1.8866858633751</v>
      </c>
      <c r="I687">
        <f>SUM(Sayfa1!G664:G687)</f>
        <v>2.8133392333984375E-2</v>
      </c>
    </row>
    <row r="688" spans="1:9" x14ac:dyDescent="0.3">
      <c r="A688">
        <v>-118.5</v>
      </c>
      <c r="B688">
        <v>34.25</v>
      </c>
      <c r="C688">
        <v>2025</v>
      </c>
      <c r="D688">
        <v>1</v>
      </c>
      <c r="E688">
        <v>29</v>
      </c>
      <c r="F688">
        <f>Sayfa1!C688-273.15</f>
        <v>9.7823425292968977</v>
      </c>
      <c r="G688">
        <v>94.942581176757813</v>
      </c>
      <c r="H688">
        <f>SQRT(Sayfa1!D688^2+Sayfa1!E688^2)</f>
        <v>1.9192090365894774</v>
      </c>
      <c r="I688">
        <f>SUM(Sayfa1!G665:G688)</f>
        <v>2.956390380859375E-2</v>
      </c>
    </row>
    <row r="689" spans="1:9" x14ac:dyDescent="0.3">
      <c r="A689">
        <v>-118.5</v>
      </c>
      <c r="B689">
        <v>34.25</v>
      </c>
      <c r="C689">
        <v>2025</v>
      </c>
      <c r="D689">
        <v>1</v>
      </c>
      <c r="E689">
        <v>29</v>
      </c>
      <c r="F689">
        <f>Sayfa1!C689-273.15</f>
        <v>9.8920532226562727</v>
      </c>
      <c r="G689">
        <v>92.901397705078125</v>
      </c>
      <c r="H689">
        <f>SQRT(Sayfa1!D689^2+Sayfa1!E689^2)</f>
        <v>1.8721223022637408</v>
      </c>
      <c r="I689">
        <f>SUM(Sayfa1!G666:G689)</f>
        <v>3.0040740966796875E-2</v>
      </c>
    </row>
    <row r="690" spans="1:9" x14ac:dyDescent="0.3">
      <c r="A690">
        <v>-118.5</v>
      </c>
      <c r="B690">
        <v>34.25</v>
      </c>
      <c r="C690">
        <v>2025</v>
      </c>
      <c r="D690">
        <v>1</v>
      </c>
      <c r="E690">
        <v>29</v>
      </c>
      <c r="F690">
        <f>Sayfa1!C690-273.15</f>
        <v>9.8816162109375227</v>
      </c>
      <c r="G690">
        <v>86.421066284179688</v>
      </c>
      <c r="H690">
        <f>SQRT(Sayfa1!D690^2+Sayfa1!E690^2)</f>
        <v>1.3959310863558947</v>
      </c>
      <c r="I690">
        <f>SUM(Sayfa1!G667:G690)</f>
        <v>3.6716461181640625E-2</v>
      </c>
    </row>
    <row r="691" spans="1:9" x14ac:dyDescent="0.3">
      <c r="A691">
        <v>-118.5</v>
      </c>
      <c r="B691">
        <v>34.25</v>
      </c>
      <c r="C691">
        <v>2025</v>
      </c>
      <c r="D691">
        <v>1</v>
      </c>
      <c r="E691">
        <v>29</v>
      </c>
      <c r="F691">
        <f>Sayfa1!C691-273.15</f>
        <v>9.8320861816406477</v>
      </c>
      <c r="G691">
        <v>71.399215698242188</v>
      </c>
      <c r="H691">
        <f>SQRT(Sayfa1!D691^2+Sayfa1!E691^2)</f>
        <v>0.64616257622829487</v>
      </c>
      <c r="I691">
        <f>SUM(Sayfa1!G668:G691)</f>
        <v>7.2956085205078125E-2</v>
      </c>
    </row>
    <row r="692" spans="1:9" x14ac:dyDescent="0.3">
      <c r="A692">
        <v>-118.5</v>
      </c>
      <c r="B692">
        <v>34.25</v>
      </c>
      <c r="C692">
        <v>2025</v>
      </c>
      <c r="D692">
        <v>1</v>
      </c>
      <c r="E692">
        <v>29</v>
      </c>
      <c r="F692">
        <f>Sayfa1!C692-273.15</f>
        <v>10.651452636718773</v>
      </c>
      <c r="G692">
        <v>65.192291259765625</v>
      </c>
      <c r="H692">
        <f>SQRT(Sayfa1!D692^2+Sayfa1!E692^2)</f>
        <v>0.55587941707956068</v>
      </c>
      <c r="I692">
        <f>SUM(Sayfa1!G669:G692)</f>
        <v>7.343292236328125E-2</v>
      </c>
    </row>
    <row r="693" spans="1:9" x14ac:dyDescent="0.3">
      <c r="A693">
        <v>-118.5</v>
      </c>
      <c r="B693">
        <v>34.25</v>
      </c>
      <c r="C693">
        <v>2025</v>
      </c>
      <c r="D693">
        <v>1</v>
      </c>
      <c r="E693">
        <v>29</v>
      </c>
      <c r="F693">
        <f>Sayfa1!C693-273.15</f>
        <v>11.963098144531273</v>
      </c>
      <c r="G693">
        <v>58.276611328125</v>
      </c>
      <c r="H693">
        <f>SQRT(Sayfa1!D693^2+Sayfa1!E693^2)</f>
        <v>0.96327398488185401</v>
      </c>
      <c r="I693">
        <f>SUM(Sayfa1!G670:G693)</f>
        <v>7.343292236328125E-2</v>
      </c>
    </row>
    <row r="694" spans="1:9" x14ac:dyDescent="0.3">
      <c r="A694">
        <v>-118.5</v>
      </c>
      <c r="B694">
        <v>34.25</v>
      </c>
      <c r="C694">
        <v>2025</v>
      </c>
      <c r="D694">
        <v>1</v>
      </c>
      <c r="E694">
        <v>29</v>
      </c>
      <c r="F694">
        <f>Sayfa1!C694-273.15</f>
        <v>12.929895019531273</v>
      </c>
      <c r="G694">
        <v>55.15191650390625</v>
      </c>
      <c r="H694">
        <f>SQRT(Sayfa1!D694^2+Sayfa1!E694^2)</f>
        <v>1.5576809659295257</v>
      </c>
      <c r="I694">
        <f>SUM(Sayfa1!G671:G694)</f>
        <v>7.343292236328125E-2</v>
      </c>
    </row>
    <row r="695" spans="1:9" x14ac:dyDescent="0.3">
      <c r="A695">
        <v>-118.5</v>
      </c>
      <c r="B695">
        <v>34.25</v>
      </c>
      <c r="C695">
        <v>2025</v>
      </c>
      <c r="D695">
        <v>1</v>
      </c>
      <c r="E695">
        <v>29</v>
      </c>
      <c r="F695">
        <f>Sayfa1!C695-273.15</f>
        <v>13.662500000000023</v>
      </c>
      <c r="G695">
        <v>53.931350708007813</v>
      </c>
      <c r="H695">
        <f>SQRT(Sayfa1!D695^2+Sayfa1!E695^2)</f>
        <v>2.0776599201942014</v>
      </c>
      <c r="I695">
        <f>SUM(Sayfa1!G672:G695)</f>
        <v>7.343292236328125E-2</v>
      </c>
    </row>
    <row r="696" spans="1:9" x14ac:dyDescent="0.3">
      <c r="A696">
        <v>-118.5</v>
      </c>
      <c r="B696">
        <v>34.25</v>
      </c>
      <c r="C696">
        <v>2025</v>
      </c>
      <c r="D696">
        <v>1</v>
      </c>
      <c r="E696">
        <v>29</v>
      </c>
      <c r="F696">
        <f>Sayfa1!C696-273.15</f>
        <v>13.888024902343773</v>
      </c>
      <c r="G696">
        <v>53.880508422851563</v>
      </c>
      <c r="H696">
        <f>SQRT(Sayfa1!D696^2+Sayfa1!E696^2)</f>
        <v>1.5817000999135924</v>
      </c>
      <c r="I696">
        <f>SUM(Sayfa1!G673:G696)</f>
        <v>7.343292236328125E-2</v>
      </c>
    </row>
    <row r="697" spans="1:9" x14ac:dyDescent="0.3">
      <c r="A697">
        <v>-118.5</v>
      </c>
      <c r="B697">
        <v>34.25</v>
      </c>
      <c r="C697">
        <v>2025</v>
      </c>
      <c r="D697">
        <v>1</v>
      </c>
      <c r="E697">
        <v>29</v>
      </c>
      <c r="F697">
        <f>Sayfa1!C697-273.15</f>
        <v>14.167138671875023</v>
      </c>
      <c r="G697">
        <v>55.519180297851563</v>
      </c>
      <c r="H697">
        <f>SQRT(Sayfa1!D697^2+Sayfa1!E697^2)</f>
        <v>2.3056659765631435</v>
      </c>
      <c r="I697">
        <f>SUM(Sayfa1!G674:G697)</f>
        <v>7.343292236328125E-2</v>
      </c>
    </row>
    <row r="698" spans="1:9" x14ac:dyDescent="0.3">
      <c r="A698">
        <v>-118.5</v>
      </c>
      <c r="B698">
        <v>34.25</v>
      </c>
      <c r="C698">
        <v>2025</v>
      </c>
      <c r="D698">
        <v>1</v>
      </c>
      <c r="E698">
        <v>30</v>
      </c>
      <c r="F698">
        <f>Sayfa1!C698-273.15</f>
        <v>13.746240234375023</v>
      </c>
      <c r="G698">
        <v>62.291976928710938</v>
      </c>
      <c r="H698">
        <f>SQRT(Sayfa1!D698^2+Sayfa1!E698^2)</f>
        <v>2.8175475014974958</v>
      </c>
      <c r="I698">
        <f>SUM(Sayfa1!G675:G698)</f>
        <v>7.343292236328125E-2</v>
      </c>
    </row>
    <row r="699" spans="1:9" x14ac:dyDescent="0.3">
      <c r="A699">
        <v>-118.5</v>
      </c>
      <c r="B699">
        <v>34.25</v>
      </c>
      <c r="C699">
        <v>2025</v>
      </c>
      <c r="D699">
        <v>1</v>
      </c>
      <c r="E699">
        <v>30</v>
      </c>
      <c r="F699">
        <f>Sayfa1!C699-273.15</f>
        <v>12.522851562500023</v>
      </c>
      <c r="G699">
        <v>74.7178955078125</v>
      </c>
      <c r="H699">
        <f>SQRT(Sayfa1!D699^2+Sayfa1!E699^2)</f>
        <v>2.0054028377105726</v>
      </c>
      <c r="I699">
        <f>SUM(Sayfa1!G676:G699)</f>
        <v>7.343292236328125E-2</v>
      </c>
    </row>
    <row r="700" spans="1:9" x14ac:dyDescent="0.3">
      <c r="A700">
        <v>-118.5</v>
      </c>
      <c r="B700">
        <v>34.25</v>
      </c>
      <c r="C700">
        <v>2025</v>
      </c>
      <c r="D700">
        <v>1</v>
      </c>
      <c r="E700">
        <v>30</v>
      </c>
      <c r="F700">
        <f>Sayfa1!C700-273.15</f>
        <v>11.380395507812523</v>
      </c>
      <c r="G700">
        <v>84.534072875976563</v>
      </c>
      <c r="H700">
        <f>SQRT(Sayfa1!D700^2+Sayfa1!E700^2)</f>
        <v>1.5433327551067664</v>
      </c>
      <c r="I700">
        <f>SUM(Sayfa1!G677:G700)</f>
        <v>7.343292236328125E-2</v>
      </c>
    </row>
    <row r="701" spans="1:9" x14ac:dyDescent="0.3">
      <c r="A701">
        <v>-118.5</v>
      </c>
      <c r="B701">
        <v>34.25</v>
      </c>
      <c r="C701">
        <v>2025</v>
      </c>
      <c r="D701">
        <v>1</v>
      </c>
      <c r="E701">
        <v>30</v>
      </c>
      <c r="F701">
        <f>Sayfa1!C701-273.15</f>
        <v>10.641259765625023</v>
      </c>
      <c r="G701">
        <v>90.282684326171875</v>
      </c>
      <c r="H701">
        <f>SQRT(Sayfa1!D701^2+Sayfa1!E701^2)</f>
        <v>1.1069155656038927</v>
      </c>
      <c r="I701">
        <f>SUM(Sayfa1!G678:G701)</f>
        <v>7.343292236328125E-2</v>
      </c>
    </row>
    <row r="702" spans="1:9" x14ac:dyDescent="0.3">
      <c r="A702">
        <v>-118.5</v>
      </c>
      <c r="B702">
        <v>34.25</v>
      </c>
      <c r="C702">
        <v>2025</v>
      </c>
      <c r="D702">
        <v>1</v>
      </c>
      <c r="E702">
        <v>30</v>
      </c>
      <c r="F702">
        <f>Sayfa1!C702-273.15</f>
        <v>10.130883789062523</v>
      </c>
      <c r="G702">
        <v>95.301239013671875</v>
      </c>
      <c r="H702">
        <f>SQRT(Sayfa1!D702^2+Sayfa1!E702^2)</f>
        <v>0.72461999145735267</v>
      </c>
      <c r="I702">
        <f>SUM(Sayfa1!G679:G702)</f>
        <v>7.343292236328125E-2</v>
      </c>
    </row>
    <row r="703" spans="1:9" x14ac:dyDescent="0.3">
      <c r="A703">
        <v>-118.5</v>
      </c>
      <c r="B703">
        <v>34.25</v>
      </c>
      <c r="C703">
        <v>2025</v>
      </c>
      <c r="D703">
        <v>1</v>
      </c>
      <c r="E703">
        <v>30</v>
      </c>
      <c r="F703">
        <f>Sayfa1!C703-273.15</f>
        <v>9.8464599609375227</v>
      </c>
      <c r="G703">
        <v>97.628768920898438</v>
      </c>
      <c r="H703">
        <f>SQRT(Sayfa1!D703^2+Sayfa1!E703^2)</f>
        <v>0.2016861514362106</v>
      </c>
      <c r="I703">
        <f>SUM(Sayfa1!G680:G703)</f>
        <v>7.2956085205078125E-2</v>
      </c>
    </row>
    <row r="704" spans="1:9" x14ac:dyDescent="0.3">
      <c r="A704">
        <v>-118.5</v>
      </c>
      <c r="B704">
        <v>34.25</v>
      </c>
      <c r="C704">
        <v>2025</v>
      </c>
      <c r="D704">
        <v>1</v>
      </c>
      <c r="E704">
        <v>30</v>
      </c>
      <c r="F704">
        <f>Sayfa1!C704-273.15</f>
        <v>9.7556396484375227</v>
      </c>
      <c r="G704">
        <v>98.928939819335938</v>
      </c>
      <c r="H704">
        <f>SQRT(Sayfa1!D704^2+Sayfa1!E704^2)</f>
        <v>0.65837284759530779</v>
      </c>
      <c r="I704">
        <f>SUM(Sayfa1!G681:G704)</f>
        <v>7.2956085205078125E-2</v>
      </c>
    </row>
    <row r="705" spans="1:9" x14ac:dyDescent="0.3">
      <c r="A705">
        <v>-118.5</v>
      </c>
      <c r="B705">
        <v>34.25</v>
      </c>
      <c r="C705">
        <v>2025</v>
      </c>
      <c r="D705">
        <v>1</v>
      </c>
      <c r="E705">
        <v>30</v>
      </c>
      <c r="F705">
        <f>Sayfa1!C705-273.15</f>
        <v>9.6937500000000227</v>
      </c>
      <c r="G705">
        <v>99.964981079101563</v>
      </c>
      <c r="H705">
        <f>SQRT(Sayfa1!D705^2+Sayfa1!E705^2)</f>
        <v>0.72734887322205166</v>
      </c>
      <c r="I705">
        <f>SUM(Sayfa1!G682:G705)</f>
        <v>6.866455078125E-2</v>
      </c>
    </row>
    <row r="706" spans="1:9" x14ac:dyDescent="0.3">
      <c r="A706">
        <v>-118.5</v>
      </c>
      <c r="B706">
        <v>34.25</v>
      </c>
      <c r="C706">
        <v>2025</v>
      </c>
      <c r="D706">
        <v>1</v>
      </c>
      <c r="E706">
        <v>30</v>
      </c>
      <c r="F706">
        <f>Sayfa1!C706-273.15</f>
        <v>9.6170898437500227</v>
      </c>
      <c r="G706">
        <v>100.32618713378906</v>
      </c>
      <c r="H706">
        <f>SQRT(Sayfa1!D706^2+Sayfa1!E706^2)</f>
        <v>0.49910923491809694</v>
      </c>
      <c r="I706">
        <f>SUM(Sayfa1!G683:G706)</f>
        <v>5.817413330078125E-2</v>
      </c>
    </row>
    <row r="707" spans="1:9" x14ac:dyDescent="0.3">
      <c r="A707">
        <v>-118.5</v>
      </c>
      <c r="B707">
        <v>34.25</v>
      </c>
      <c r="C707">
        <v>2025</v>
      </c>
      <c r="D707">
        <v>1</v>
      </c>
      <c r="E707">
        <v>30</v>
      </c>
      <c r="F707">
        <f>Sayfa1!C707-273.15</f>
        <v>9.4828125000000227</v>
      </c>
      <c r="G707">
        <v>100.32769775390625</v>
      </c>
      <c r="H707">
        <f>SQRT(Sayfa1!D707^2+Sayfa1!E707^2)</f>
        <v>0.63632051067878215</v>
      </c>
      <c r="I707">
        <f>SUM(Sayfa1!G684:G707)</f>
        <v>5.1021575927734375E-2</v>
      </c>
    </row>
    <row r="708" spans="1:9" x14ac:dyDescent="0.3">
      <c r="A708">
        <v>-118.5</v>
      </c>
      <c r="B708">
        <v>34.25</v>
      </c>
      <c r="C708">
        <v>2025</v>
      </c>
      <c r="D708">
        <v>1</v>
      </c>
      <c r="E708">
        <v>30</v>
      </c>
      <c r="F708">
        <f>Sayfa1!C708-273.15</f>
        <v>9.9865356445312727</v>
      </c>
      <c r="G708">
        <v>100.91712951660156</v>
      </c>
      <c r="H708">
        <f>SQRT(Sayfa1!D708^2+Sayfa1!E708^2)</f>
        <v>1.0829579121046735</v>
      </c>
      <c r="I708">
        <f>SUM(Sayfa1!G685:G708)</f>
        <v>8.2492828369140625E-2</v>
      </c>
    </row>
    <row r="709" spans="1:9" x14ac:dyDescent="0.3">
      <c r="A709">
        <v>-118.5</v>
      </c>
      <c r="B709">
        <v>34.25</v>
      </c>
      <c r="C709">
        <v>2025</v>
      </c>
      <c r="D709">
        <v>1</v>
      </c>
      <c r="E709">
        <v>30</v>
      </c>
      <c r="F709">
        <f>Sayfa1!C709-273.15</f>
        <v>9.8597045898437727</v>
      </c>
      <c r="G709">
        <v>99.891204833984375</v>
      </c>
      <c r="H709">
        <f>SQRT(Sayfa1!D709^2+Sayfa1!E709^2)</f>
        <v>0.80234081550185021</v>
      </c>
      <c r="I709">
        <f>SUM(Sayfa1!G686:G709)</f>
        <v>9.822845458984375E-2</v>
      </c>
    </row>
    <row r="710" spans="1:9" x14ac:dyDescent="0.3">
      <c r="A710">
        <v>-118.5</v>
      </c>
      <c r="B710">
        <v>34.25</v>
      </c>
      <c r="C710">
        <v>2025</v>
      </c>
      <c r="D710">
        <v>1</v>
      </c>
      <c r="E710">
        <v>30</v>
      </c>
      <c r="F710">
        <f>Sayfa1!C710-273.15</f>
        <v>9.4595581054687727</v>
      </c>
      <c r="G710">
        <v>99.409011840820313</v>
      </c>
      <c r="H710">
        <f>SQRT(Sayfa1!D710^2+Sayfa1!E710^2)</f>
        <v>1.1423732502566954</v>
      </c>
      <c r="I710">
        <f>SUM(Sayfa1!G687:G710)</f>
        <v>0.1392364501953125</v>
      </c>
    </row>
    <row r="711" spans="1:9" x14ac:dyDescent="0.3">
      <c r="A711">
        <v>-118.5</v>
      </c>
      <c r="B711">
        <v>34.25</v>
      </c>
      <c r="C711">
        <v>2025</v>
      </c>
      <c r="D711">
        <v>1</v>
      </c>
      <c r="E711">
        <v>30</v>
      </c>
      <c r="F711">
        <f>Sayfa1!C711-273.15</f>
        <v>9.1926208496093977</v>
      </c>
      <c r="G711">
        <v>99.6014404296875</v>
      </c>
      <c r="H711">
        <f>SQRT(Sayfa1!D711^2+Sayfa1!E711^2)</f>
        <v>1.4758375808171724</v>
      </c>
      <c r="I711">
        <f>SUM(Sayfa1!G688:G711)</f>
        <v>0.148773193359375</v>
      </c>
    </row>
    <row r="712" spans="1:9" x14ac:dyDescent="0.3">
      <c r="A712">
        <v>-118.5</v>
      </c>
      <c r="B712">
        <v>34.25</v>
      </c>
      <c r="C712">
        <v>2025</v>
      </c>
      <c r="D712">
        <v>1</v>
      </c>
      <c r="E712">
        <v>30</v>
      </c>
      <c r="F712">
        <f>Sayfa1!C712-273.15</f>
        <v>9.0091796875000227</v>
      </c>
      <c r="G712">
        <v>98.7366943359375</v>
      </c>
      <c r="H712">
        <f>SQRT(Sayfa1!D712^2+Sayfa1!E712^2)</f>
        <v>1.566000428703499</v>
      </c>
      <c r="I712">
        <f>SUM(Sayfa1!G689:G712)</f>
        <v>0.20170211791992188</v>
      </c>
    </row>
    <row r="713" spans="1:9" x14ac:dyDescent="0.3">
      <c r="A713">
        <v>-118.5</v>
      </c>
      <c r="B713">
        <v>34.25</v>
      </c>
      <c r="C713">
        <v>2025</v>
      </c>
      <c r="D713">
        <v>1</v>
      </c>
      <c r="E713">
        <v>30</v>
      </c>
      <c r="F713">
        <f>Sayfa1!C713-273.15</f>
        <v>8.9594970703125227</v>
      </c>
      <c r="G713">
        <v>98.302215576171875</v>
      </c>
      <c r="H713">
        <f>SQRT(Sayfa1!D713^2+Sayfa1!E713^2)</f>
        <v>1.5434737559851213</v>
      </c>
      <c r="I713">
        <f>SUM(Sayfa1!G690:G713)</f>
        <v>0.21648406982421875</v>
      </c>
    </row>
    <row r="714" spans="1:9" x14ac:dyDescent="0.3">
      <c r="A714">
        <v>-118.5</v>
      </c>
      <c r="B714">
        <v>34.25</v>
      </c>
      <c r="C714">
        <v>2025</v>
      </c>
      <c r="D714">
        <v>1</v>
      </c>
      <c r="E714">
        <v>30</v>
      </c>
      <c r="F714">
        <f>Sayfa1!C714-273.15</f>
        <v>8.9378295898437727</v>
      </c>
      <c r="G714">
        <v>97.968780517578125</v>
      </c>
      <c r="H714">
        <f>SQRT(Sayfa1!D714^2+Sayfa1!E714^2)</f>
        <v>0.94181320747542985</v>
      </c>
      <c r="I714">
        <f>SUM(Sayfa1!G691:G714)</f>
        <v>0.24127960205078125</v>
      </c>
    </row>
    <row r="715" spans="1:9" x14ac:dyDescent="0.3">
      <c r="A715">
        <v>-118.5</v>
      </c>
      <c r="B715">
        <v>34.25</v>
      </c>
      <c r="C715">
        <v>2025</v>
      </c>
      <c r="D715">
        <v>1</v>
      </c>
      <c r="E715">
        <v>30</v>
      </c>
      <c r="F715">
        <f>Sayfa1!C715-273.15</f>
        <v>8.9150024414062727</v>
      </c>
      <c r="G715">
        <v>89.792617797851563</v>
      </c>
      <c r="H715">
        <f>SQRT(Sayfa1!D715^2+Sayfa1!E715^2)</f>
        <v>0.13328318252649404</v>
      </c>
      <c r="I715">
        <f>SUM(Sayfa1!G692:G715)</f>
        <v>0.22172927856445313</v>
      </c>
    </row>
    <row r="716" spans="1:9" x14ac:dyDescent="0.3">
      <c r="A716">
        <v>-118.5</v>
      </c>
      <c r="B716">
        <v>34.25</v>
      </c>
      <c r="C716">
        <v>2025</v>
      </c>
      <c r="D716">
        <v>1</v>
      </c>
      <c r="E716">
        <v>30</v>
      </c>
      <c r="F716">
        <f>Sayfa1!C716-273.15</f>
        <v>9.8223510742187727</v>
      </c>
      <c r="G716">
        <v>82.112777709960938</v>
      </c>
      <c r="H716">
        <f>SQRT(Sayfa1!D716^2+Sayfa1!E716^2)</f>
        <v>1.0092033868728958</v>
      </c>
      <c r="I716">
        <f>SUM(Sayfa1!G693:G716)</f>
        <v>0.2269744873046875</v>
      </c>
    </row>
    <row r="717" spans="1:9" x14ac:dyDescent="0.3">
      <c r="A717">
        <v>-118.5</v>
      </c>
      <c r="B717">
        <v>34.25</v>
      </c>
      <c r="C717">
        <v>2025</v>
      </c>
      <c r="D717">
        <v>1</v>
      </c>
      <c r="E717">
        <v>30</v>
      </c>
      <c r="F717">
        <f>Sayfa1!C717-273.15</f>
        <v>10.590234375000023</v>
      </c>
      <c r="G717">
        <v>77.029022216796875</v>
      </c>
      <c r="H717">
        <f>SQRT(Sayfa1!D717^2+Sayfa1!E717^2)</f>
        <v>1.2586260417025521</v>
      </c>
      <c r="I717">
        <f>SUM(Sayfa1!G694:G717)</f>
        <v>0.2536773681640625</v>
      </c>
    </row>
    <row r="718" spans="1:9" x14ac:dyDescent="0.3">
      <c r="A718">
        <v>-118.5</v>
      </c>
      <c r="B718">
        <v>34.25</v>
      </c>
      <c r="C718">
        <v>2025</v>
      </c>
      <c r="D718">
        <v>1</v>
      </c>
      <c r="E718">
        <v>30</v>
      </c>
      <c r="F718">
        <f>Sayfa1!C718-273.15</f>
        <v>11.294580078125023</v>
      </c>
      <c r="G718">
        <v>73.49163818359375</v>
      </c>
      <c r="H718">
        <f>SQRT(Sayfa1!D718^2+Sayfa1!E718^2)</f>
        <v>1.4448316819010152</v>
      </c>
      <c r="I718">
        <f>SUM(Sayfa1!G695:G718)</f>
        <v>0.25844573974609375</v>
      </c>
    </row>
    <row r="719" spans="1:9" x14ac:dyDescent="0.3">
      <c r="A719">
        <v>-118.5</v>
      </c>
      <c r="B719">
        <v>34.25</v>
      </c>
      <c r="C719">
        <v>2025</v>
      </c>
      <c r="D719">
        <v>1</v>
      </c>
      <c r="E719">
        <v>30</v>
      </c>
      <c r="F719">
        <f>Sayfa1!C719-273.15</f>
        <v>11.910302734375023</v>
      </c>
      <c r="G719">
        <v>70.771377563476563</v>
      </c>
      <c r="H719">
        <f>SQRT(Sayfa1!D719^2+Sayfa1!E719^2)</f>
        <v>1.688154574672929</v>
      </c>
      <c r="I719">
        <f>SUM(Sayfa1!G696:G719)</f>
        <v>0.25844573974609375</v>
      </c>
    </row>
    <row r="720" spans="1:9" x14ac:dyDescent="0.3">
      <c r="A720">
        <v>-118.5</v>
      </c>
      <c r="B720">
        <v>34.25</v>
      </c>
      <c r="C720">
        <v>2025</v>
      </c>
      <c r="D720">
        <v>1</v>
      </c>
      <c r="E720">
        <v>30</v>
      </c>
      <c r="F720">
        <f>Sayfa1!C720-273.15</f>
        <v>12.103662109375023</v>
      </c>
      <c r="G720">
        <v>66.554702758789063</v>
      </c>
      <c r="H720">
        <f>SQRT(Sayfa1!D720^2+Sayfa1!E720^2)</f>
        <v>0.79700667009898374</v>
      </c>
      <c r="I720">
        <f>SUM(Sayfa1!G697:G720)</f>
        <v>0.25844573974609375</v>
      </c>
    </row>
    <row r="721" spans="1:9" x14ac:dyDescent="0.3">
      <c r="A721">
        <v>-118.5</v>
      </c>
      <c r="B721">
        <v>34.25</v>
      </c>
      <c r="C721">
        <v>2025</v>
      </c>
      <c r="D721">
        <v>1</v>
      </c>
      <c r="E721">
        <v>30</v>
      </c>
      <c r="F721">
        <f>Sayfa1!C721-273.15</f>
        <v>12.904931640625023</v>
      </c>
      <c r="G721">
        <v>63.69140625</v>
      </c>
      <c r="H721">
        <f>SQRT(Sayfa1!D721^2+Sayfa1!E721^2)</f>
        <v>1.2038994887952426</v>
      </c>
      <c r="I721">
        <f>SUM(Sayfa1!G698:G721)</f>
        <v>0.25844573974609375</v>
      </c>
    </row>
    <row r="722" spans="1:9" x14ac:dyDescent="0.3">
      <c r="A722">
        <v>-118.5</v>
      </c>
      <c r="B722">
        <v>34.25</v>
      </c>
      <c r="C722">
        <v>2025</v>
      </c>
      <c r="D722">
        <v>1</v>
      </c>
      <c r="E722">
        <v>31</v>
      </c>
      <c r="F722">
        <f>Sayfa1!C722-273.15</f>
        <v>13.043725585937523</v>
      </c>
      <c r="G722">
        <v>64.273193359375</v>
      </c>
      <c r="H722">
        <f>SQRT(Sayfa1!D722^2+Sayfa1!E722^2)</f>
        <v>1.6366191574240918</v>
      </c>
      <c r="I722">
        <f>SUM(Sayfa1!G699:G722)</f>
        <v>0.25844573974609375</v>
      </c>
    </row>
    <row r="723" spans="1:9" x14ac:dyDescent="0.3">
      <c r="A723">
        <v>-118.5</v>
      </c>
      <c r="B723">
        <v>34.25</v>
      </c>
      <c r="C723">
        <v>2025</v>
      </c>
      <c r="D723">
        <v>1</v>
      </c>
      <c r="E723">
        <v>31</v>
      </c>
      <c r="F723">
        <f>Sayfa1!C723-273.15</f>
        <v>12.494165039062523</v>
      </c>
      <c r="G723">
        <v>69.433837890625</v>
      </c>
      <c r="H723">
        <f>SQRT(Sayfa1!D723^2+Sayfa1!E723^2)</f>
        <v>1.3986633936816588</v>
      </c>
      <c r="I723">
        <f>SUM(Sayfa1!G700:G723)</f>
        <v>0.25844573974609375</v>
      </c>
    </row>
    <row r="724" spans="1:9" x14ac:dyDescent="0.3">
      <c r="A724">
        <v>-118.5</v>
      </c>
      <c r="B724">
        <v>34.25</v>
      </c>
      <c r="C724">
        <v>2025</v>
      </c>
      <c r="D724">
        <v>1</v>
      </c>
      <c r="E724">
        <v>31</v>
      </c>
      <c r="F724">
        <f>Sayfa1!C724-273.15</f>
        <v>11.763818359375023</v>
      </c>
      <c r="G724">
        <v>75.498001098632813</v>
      </c>
      <c r="H724">
        <f>SQRT(Sayfa1!D724^2+Sayfa1!E724^2)</f>
        <v>1.2064249999152135</v>
      </c>
      <c r="I724">
        <f>SUM(Sayfa1!G701:G724)</f>
        <v>0.25844573974609375</v>
      </c>
    </row>
    <row r="725" spans="1:9" x14ac:dyDescent="0.3">
      <c r="A725">
        <v>-118.5</v>
      </c>
      <c r="B725">
        <v>34.25</v>
      </c>
      <c r="C725">
        <v>2025</v>
      </c>
      <c r="D725">
        <v>1</v>
      </c>
      <c r="E725">
        <v>31</v>
      </c>
      <c r="F725">
        <f>Sayfa1!C725-273.15</f>
        <v>11.158715820312523</v>
      </c>
      <c r="G725">
        <v>80.02239990234375</v>
      </c>
      <c r="H725">
        <f>SQRT(Sayfa1!D725^2+Sayfa1!E725^2)</f>
        <v>1.0360367104125576</v>
      </c>
      <c r="I725">
        <f>SUM(Sayfa1!G702:G725)</f>
        <v>0.25844573974609375</v>
      </c>
    </row>
    <row r="726" spans="1:9" x14ac:dyDescent="0.3">
      <c r="A726">
        <v>-118.5</v>
      </c>
      <c r="B726">
        <v>34.25</v>
      </c>
      <c r="C726">
        <v>2025</v>
      </c>
      <c r="D726">
        <v>1</v>
      </c>
      <c r="E726">
        <v>31</v>
      </c>
      <c r="F726">
        <f>Sayfa1!C726-273.15</f>
        <v>10.483911132812523</v>
      </c>
      <c r="G726">
        <v>84.627700805664063</v>
      </c>
      <c r="H726">
        <f>SQRT(Sayfa1!D726^2+Sayfa1!E726^2)</f>
        <v>1.2390268308194441</v>
      </c>
      <c r="I726">
        <f>SUM(Sayfa1!G703:G726)</f>
        <v>0.25844573974609375</v>
      </c>
    </row>
    <row r="727" spans="1:9" x14ac:dyDescent="0.3">
      <c r="A727">
        <v>-118.5</v>
      </c>
      <c r="B727">
        <v>34.25</v>
      </c>
      <c r="C727">
        <v>2025</v>
      </c>
      <c r="D727">
        <v>1</v>
      </c>
      <c r="E727">
        <v>31</v>
      </c>
      <c r="F727">
        <f>Sayfa1!C727-273.15</f>
        <v>9.9140869140625227</v>
      </c>
      <c r="G727">
        <v>88.773025512695313</v>
      </c>
      <c r="H727">
        <f>SQRT(Sayfa1!D727^2+Sayfa1!E727^2)</f>
        <v>0.94760963262088893</v>
      </c>
      <c r="I727">
        <f>SUM(Sayfa1!G704:G727)</f>
        <v>0.25844573974609375</v>
      </c>
    </row>
    <row r="728" spans="1:9" x14ac:dyDescent="0.3">
      <c r="A728">
        <v>-118.5</v>
      </c>
      <c r="B728">
        <v>34.25</v>
      </c>
      <c r="C728">
        <v>2025</v>
      </c>
      <c r="D728">
        <v>1</v>
      </c>
      <c r="E728">
        <v>31</v>
      </c>
      <c r="F728">
        <f>Sayfa1!C728-273.15</f>
        <v>9.7363525390625227</v>
      </c>
      <c r="G728">
        <v>90.564697265625</v>
      </c>
      <c r="H728">
        <f>SQRT(Sayfa1!D728^2+Sayfa1!E728^2)</f>
        <v>0.95729455074991243</v>
      </c>
      <c r="I728">
        <f>SUM(Sayfa1!G705:G728)</f>
        <v>0.25844573974609375</v>
      </c>
    </row>
    <row r="729" spans="1:9" x14ac:dyDescent="0.3">
      <c r="A729">
        <v>-118.5</v>
      </c>
      <c r="B729">
        <v>34.25</v>
      </c>
      <c r="C729">
        <v>2025</v>
      </c>
      <c r="D729">
        <v>1</v>
      </c>
      <c r="E729">
        <v>31</v>
      </c>
      <c r="F729">
        <f>Sayfa1!C729-273.15</f>
        <v>9.8048339843750227</v>
      </c>
      <c r="G729">
        <v>91.429931640625</v>
      </c>
      <c r="H729">
        <f>SQRT(Sayfa1!D729^2+Sayfa1!E729^2)</f>
        <v>1.3804093565763733</v>
      </c>
      <c r="I729">
        <f>SUM(Sayfa1!G706:G729)</f>
        <v>0.25844573974609375</v>
      </c>
    </row>
    <row r="730" spans="1:9" x14ac:dyDescent="0.3">
      <c r="A730">
        <v>-118.5</v>
      </c>
      <c r="B730">
        <v>34.25</v>
      </c>
      <c r="C730">
        <v>2025</v>
      </c>
      <c r="D730">
        <v>1</v>
      </c>
      <c r="E730">
        <v>31</v>
      </c>
      <c r="F730">
        <f>Sayfa1!C730-273.15</f>
        <v>9.9493652343750227</v>
      </c>
      <c r="G730">
        <v>91.204635620117188</v>
      </c>
      <c r="H730">
        <f>SQRT(Sayfa1!D730^2+Sayfa1!E730^2)</f>
        <v>1.6123429917840324</v>
      </c>
      <c r="I730">
        <f>SUM(Sayfa1!G707:G730)</f>
        <v>0.25796890258789063</v>
      </c>
    </row>
    <row r="731" spans="1:9" x14ac:dyDescent="0.3">
      <c r="A731">
        <v>-118.5</v>
      </c>
      <c r="B731">
        <v>34.25</v>
      </c>
      <c r="C731">
        <v>2025</v>
      </c>
      <c r="D731">
        <v>1</v>
      </c>
      <c r="E731">
        <v>31</v>
      </c>
      <c r="F731">
        <f>Sayfa1!C731-273.15</f>
        <v>10.041650390625023</v>
      </c>
      <c r="G731">
        <v>90.958465576171875</v>
      </c>
      <c r="H731">
        <f>SQRT(Sayfa1!D731^2+Sayfa1!E731^2)</f>
        <v>1.9045906389283005</v>
      </c>
      <c r="I731">
        <f>SUM(Sayfa1!G708:G731)</f>
        <v>0.25796890258789063</v>
      </c>
    </row>
    <row r="732" spans="1:9" x14ac:dyDescent="0.3">
      <c r="A732">
        <v>-118.5</v>
      </c>
      <c r="B732">
        <v>34.25</v>
      </c>
      <c r="C732">
        <v>2025</v>
      </c>
      <c r="D732">
        <v>1</v>
      </c>
      <c r="E732">
        <v>31</v>
      </c>
      <c r="F732">
        <f>Sayfa1!C732-273.15</f>
        <v>9.6422363281250227</v>
      </c>
      <c r="G732">
        <v>94.442276000976563</v>
      </c>
      <c r="H732">
        <f>SQRT(Sayfa1!D732^2+Sayfa1!E732^2)</f>
        <v>1.8866130951556306</v>
      </c>
      <c r="I732">
        <f>SUM(Sayfa1!G709:G732)</f>
        <v>0.225067138671875</v>
      </c>
    </row>
    <row r="733" spans="1:9" x14ac:dyDescent="0.3">
      <c r="A733">
        <v>-118.5</v>
      </c>
      <c r="B733">
        <v>34.25</v>
      </c>
      <c r="C733">
        <v>2025</v>
      </c>
      <c r="D733">
        <v>1</v>
      </c>
      <c r="E733">
        <v>31</v>
      </c>
      <c r="F733">
        <f>Sayfa1!C733-273.15</f>
        <v>10.212915039062523</v>
      </c>
      <c r="G733">
        <v>93.941940307617188</v>
      </c>
      <c r="H733">
        <f>SQRT(Sayfa1!D733^2+Sayfa1!E733^2)</f>
        <v>1.8768489349878126</v>
      </c>
      <c r="I733">
        <f>SUM(Sayfa1!G710:G733)</f>
        <v>0.20885467529296875</v>
      </c>
    </row>
    <row r="734" spans="1:9" x14ac:dyDescent="0.3">
      <c r="A734">
        <v>-118.5</v>
      </c>
      <c r="B734">
        <v>34.25</v>
      </c>
      <c r="C734">
        <v>2025</v>
      </c>
      <c r="D734">
        <v>1</v>
      </c>
      <c r="E734">
        <v>31</v>
      </c>
      <c r="F734">
        <f>Sayfa1!C734-273.15</f>
        <v>10.628198242187523</v>
      </c>
      <c r="G734">
        <v>92.036727905273438</v>
      </c>
      <c r="H734">
        <f>SQRT(Sayfa1!D734^2+Sayfa1!E734^2)</f>
        <v>2.0410298744530153</v>
      </c>
      <c r="I734">
        <f>SUM(Sayfa1!G711:G734)</f>
        <v>0.16736984252929688</v>
      </c>
    </row>
    <row r="735" spans="1:9" x14ac:dyDescent="0.3">
      <c r="A735">
        <v>-118.5</v>
      </c>
      <c r="B735">
        <v>34.25</v>
      </c>
      <c r="C735">
        <v>2025</v>
      </c>
      <c r="D735">
        <v>1</v>
      </c>
      <c r="E735">
        <v>31</v>
      </c>
      <c r="F735">
        <f>Sayfa1!C735-273.15</f>
        <v>10.944116210937523</v>
      </c>
      <c r="G735">
        <v>87.232147216796875</v>
      </c>
      <c r="H735">
        <f>SQRT(Sayfa1!D735^2+Sayfa1!E735^2)</f>
        <v>2.0325070561202239</v>
      </c>
      <c r="I735">
        <f>SUM(Sayfa1!G712:G735)</f>
        <v>0.15497207641601563</v>
      </c>
    </row>
    <row r="736" spans="1:9" x14ac:dyDescent="0.3">
      <c r="A736">
        <v>-118.5</v>
      </c>
      <c r="B736">
        <v>34.25</v>
      </c>
      <c r="C736">
        <v>2025</v>
      </c>
      <c r="D736">
        <v>1</v>
      </c>
      <c r="E736">
        <v>31</v>
      </c>
      <c r="F736">
        <f>Sayfa1!C736-273.15</f>
        <v>10.633691406250023</v>
      </c>
      <c r="G736">
        <v>85.55584716796875</v>
      </c>
      <c r="H736">
        <f>SQRT(Sayfa1!D736^2+Sayfa1!E736^2)</f>
        <v>2.0025598723039919</v>
      </c>
      <c r="I736">
        <f>SUM(Sayfa1!G713:G736)</f>
        <v>0.10061264038085938</v>
      </c>
    </row>
    <row r="737" spans="1:9" x14ac:dyDescent="0.3">
      <c r="A737">
        <v>-118.5</v>
      </c>
      <c r="B737">
        <v>34.25</v>
      </c>
      <c r="C737">
        <v>2025</v>
      </c>
      <c r="D737">
        <v>1</v>
      </c>
      <c r="E737">
        <v>31</v>
      </c>
      <c r="F737">
        <f>Sayfa1!C737-273.15</f>
        <v>10.348535156250023</v>
      </c>
      <c r="G737">
        <v>85.40802001953125</v>
      </c>
      <c r="H737">
        <f>SQRT(Sayfa1!D737^2+Sayfa1!E737^2)</f>
        <v>2.0316176490982594</v>
      </c>
      <c r="I737">
        <f>SUM(Sayfa1!G714:G737)</f>
        <v>8.5353851318359375E-2</v>
      </c>
    </row>
    <row r="738" spans="1:9" x14ac:dyDescent="0.3">
      <c r="A738">
        <v>-118.5</v>
      </c>
      <c r="B738">
        <v>34.25</v>
      </c>
      <c r="C738">
        <v>2025</v>
      </c>
      <c r="D738">
        <v>1</v>
      </c>
      <c r="E738">
        <v>31</v>
      </c>
      <c r="F738">
        <f>Sayfa1!C738-273.15</f>
        <v>10.542871093750023</v>
      </c>
      <c r="G738">
        <v>82.155532836914063</v>
      </c>
      <c r="H738">
        <f>SQRT(Sayfa1!D738^2+Sayfa1!E738^2)</f>
        <v>1.2943136605008831</v>
      </c>
      <c r="I738">
        <f>SUM(Sayfa1!G715:G738)</f>
        <v>5.3882598876953125E-2</v>
      </c>
    </row>
    <row r="739" spans="1:9" x14ac:dyDescent="0.3">
      <c r="A739">
        <v>-118.5</v>
      </c>
      <c r="B739">
        <v>34.25</v>
      </c>
      <c r="C739">
        <v>2025</v>
      </c>
      <c r="D739">
        <v>1</v>
      </c>
      <c r="E739">
        <v>31</v>
      </c>
      <c r="F739">
        <f>Sayfa1!C739-273.15</f>
        <v>11.085473632812523</v>
      </c>
      <c r="G739">
        <v>59.910919189453125</v>
      </c>
      <c r="H739">
        <f>SQRT(Sayfa1!D739^2+Sayfa1!E739^2)</f>
        <v>0.78612681336216683</v>
      </c>
      <c r="I739">
        <f>SUM(Sayfa1!G716:G739)</f>
        <v>3.719329833984375E-2</v>
      </c>
    </row>
    <row r="740" spans="1:9" x14ac:dyDescent="0.3">
      <c r="A740">
        <v>-118.5</v>
      </c>
      <c r="B740">
        <v>34.25</v>
      </c>
      <c r="C740">
        <v>2025</v>
      </c>
      <c r="D740">
        <v>1</v>
      </c>
      <c r="E740">
        <v>31</v>
      </c>
      <c r="F740">
        <f>Sayfa1!C740-273.15</f>
        <v>12.330102539062523</v>
      </c>
      <c r="G740">
        <v>46.2998046875</v>
      </c>
      <c r="H740">
        <f>SQRT(Sayfa1!D740^2+Sayfa1!E740^2)</f>
        <v>0.51527317124651162</v>
      </c>
      <c r="I740">
        <f>SUM(Sayfa1!G717:G740)</f>
        <v>3.147125244140625E-2</v>
      </c>
    </row>
    <row r="741" spans="1:9" x14ac:dyDescent="0.3">
      <c r="A741">
        <v>-118.5</v>
      </c>
      <c r="B741">
        <v>34.25</v>
      </c>
      <c r="C741">
        <v>2025</v>
      </c>
      <c r="D741">
        <v>1</v>
      </c>
      <c r="E741">
        <v>31</v>
      </c>
      <c r="F741">
        <f>Sayfa1!C741-273.15</f>
        <v>14.253564453125023</v>
      </c>
      <c r="G741">
        <v>42.305679321289063</v>
      </c>
      <c r="H741">
        <f>SQRT(Sayfa1!D741^2+Sayfa1!E741^2)</f>
        <v>0.46250915930069864</v>
      </c>
      <c r="I741">
        <f>SUM(Sayfa1!G718:G741)</f>
        <v>4.76837158203125E-3</v>
      </c>
    </row>
    <row r="742" spans="1:9" x14ac:dyDescent="0.3">
      <c r="A742">
        <v>-118.5</v>
      </c>
      <c r="B742">
        <v>34.25</v>
      </c>
      <c r="C742">
        <v>2025</v>
      </c>
      <c r="D742">
        <v>1</v>
      </c>
      <c r="E742">
        <v>31</v>
      </c>
      <c r="F742">
        <f>Sayfa1!C742-273.15</f>
        <v>15.541894531250023</v>
      </c>
      <c r="G742">
        <v>41.399490356445313</v>
      </c>
      <c r="H742">
        <f>SQRT(Sayfa1!D742^2+Sayfa1!E742^2)</f>
        <v>1.2215833515419618</v>
      </c>
      <c r="I742">
        <f>SUM(Sayfa1!G719:G742)</f>
        <v>0</v>
      </c>
    </row>
    <row r="743" spans="1:9" x14ac:dyDescent="0.3">
      <c r="A743">
        <v>-118.5</v>
      </c>
      <c r="B743">
        <v>34.25</v>
      </c>
      <c r="C743">
        <v>2025</v>
      </c>
      <c r="D743">
        <v>1</v>
      </c>
      <c r="E743">
        <v>31</v>
      </c>
      <c r="F743">
        <f>Sayfa1!C743-273.15</f>
        <v>16.125390625000023</v>
      </c>
      <c r="G743">
        <v>43.71429443359375</v>
      </c>
      <c r="H743">
        <f>SQRT(Sayfa1!D743^2+Sayfa1!E743^2)</f>
        <v>1.8509046307830441</v>
      </c>
      <c r="I743">
        <f>SUM(Sayfa1!G720:G743)</f>
        <v>0</v>
      </c>
    </row>
    <row r="744" spans="1:9" x14ac:dyDescent="0.3">
      <c r="A744">
        <v>-118.5</v>
      </c>
      <c r="B744">
        <v>34.25</v>
      </c>
      <c r="C744">
        <v>2025</v>
      </c>
      <c r="D744">
        <v>1</v>
      </c>
      <c r="E744">
        <v>31</v>
      </c>
      <c r="F744">
        <f>Sayfa1!C744-273.15</f>
        <v>16.237939453125023</v>
      </c>
      <c r="G744">
        <v>39.621429443359375</v>
      </c>
      <c r="H744">
        <f>SQRT(Sayfa1!D744^2+Sayfa1!E744^2)</f>
        <v>1.3668552162631922</v>
      </c>
      <c r="I744">
        <f>SUM(Sayfa1!G721:G744)</f>
        <v>0</v>
      </c>
    </row>
    <row r="745" spans="1:9" x14ac:dyDescent="0.3">
      <c r="A745">
        <v>-118.5</v>
      </c>
      <c r="B745">
        <v>34.25</v>
      </c>
      <c r="C745">
        <v>2025</v>
      </c>
      <c r="D745">
        <v>1</v>
      </c>
      <c r="E745">
        <v>31</v>
      </c>
      <c r="F745">
        <f>Sayfa1!C745-273.15</f>
        <v>16.480371093750023</v>
      </c>
      <c r="G745">
        <v>42.905136108398438</v>
      </c>
      <c r="H745">
        <f>SQRT(Sayfa1!D745^2+Sayfa1!E745^2)</f>
        <v>1.8119430169830515</v>
      </c>
      <c r="I745">
        <f>SUM(Sayfa1!G722:G745)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7" sqref="G7:G8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292.82421875</v>
      </c>
      <c r="D2">
        <v>-3.35540771484375E-2</v>
      </c>
      <c r="E2">
        <v>-9.70001220703125E-2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291.7955322265625</v>
      </c>
      <c r="D3">
        <v>0.2787017822265625</v>
      </c>
      <c r="E3">
        <v>4.35943603515625E-2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291.43408203125</v>
      </c>
      <c r="D4">
        <v>-2.154541015625E-2</v>
      </c>
      <c r="E4">
        <v>-0.6319427490234375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291.4793701171875</v>
      </c>
      <c r="D5">
        <v>-0.6962738037109375</v>
      </c>
      <c r="E5">
        <v>-1.2653350830078125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291.2734375</v>
      </c>
      <c r="D6">
        <v>-1.1206817626953125</v>
      </c>
      <c r="E6">
        <v>-2.01470947265625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291.0718994140625</v>
      </c>
      <c r="D7">
        <v>-1.0183563232421875</v>
      </c>
      <c r="E7">
        <v>-2.330352783203125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290.9393310546875</v>
      </c>
      <c r="D8">
        <v>-0.978485107421875</v>
      </c>
      <c r="E8">
        <v>-2.3766021728515625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290.795166015625</v>
      </c>
      <c r="D9">
        <v>-1.0464935302734375</v>
      </c>
      <c r="E9">
        <v>-2.3826751708984375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290.725341796875</v>
      </c>
      <c r="D10">
        <v>-0.97869873046875</v>
      </c>
      <c r="E10">
        <v>-2.4031982421875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290.856689453125</v>
      </c>
      <c r="D11">
        <v>-0.854339599609375</v>
      </c>
      <c r="E11">
        <v>-2.3558197021484375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289.8857421875</v>
      </c>
      <c r="D12">
        <v>-0.8836517333984375</v>
      </c>
      <c r="E12">
        <v>-2.451751708984375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289.911376953125</v>
      </c>
      <c r="D13">
        <v>-0.77679443359375</v>
      </c>
      <c r="E13">
        <v>-2.367431640625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290.3466796875</v>
      </c>
      <c r="D14">
        <v>-0.918914794921875</v>
      </c>
      <c r="E14">
        <v>-2.5411529541015625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290.677490234375</v>
      </c>
      <c r="D15">
        <v>-0.8363037109375</v>
      </c>
      <c r="E15">
        <v>-2.644744873046875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291.206298828125</v>
      </c>
      <c r="D16">
        <v>-0.8370513916015625</v>
      </c>
      <c r="E16">
        <v>-2.6982421875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291.5126953125</v>
      </c>
      <c r="D17">
        <v>-1.05694580078125</v>
      </c>
      <c r="E17">
        <v>-2.6569061279296875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291.409423828125</v>
      </c>
      <c r="D18">
        <v>-1.1876373291015625</v>
      </c>
      <c r="E18">
        <v>-2.4315948486328125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291.2091064453125</v>
      </c>
      <c r="D19">
        <v>-0.9173126220703125</v>
      </c>
      <c r="E19">
        <v>-2.1313018798828125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290.7969970703125</v>
      </c>
      <c r="D20">
        <v>-0.565338134765625</v>
      </c>
      <c r="E20">
        <v>-1.7261505126953125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292.7017822265625</v>
      </c>
      <c r="D21">
        <v>-0.209686279296875</v>
      </c>
      <c r="E21">
        <v>-1.343231201171875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294.46337890625</v>
      </c>
      <c r="D22">
        <v>-0.1081695556640625</v>
      </c>
      <c r="E22">
        <v>-0.8299407958984375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295.587890625</v>
      </c>
      <c r="D23">
        <v>-0.16253662109375</v>
      </c>
      <c r="E23">
        <v>-0.4051971435546875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294.50244140625</v>
      </c>
      <c r="D24">
        <v>-0.511871337890625</v>
      </c>
      <c r="E24">
        <v>2.96478271484375E-2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294.92578125</v>
      </c>
      <c r="D25">
        <v>-7.757568359375E-2</v>
      </c>
      <c r="E25">
        <v>0.4496612548828125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294.74853515625</v>
      </c>
      <c r="D26">
        <v>0.4234771728515625</v>
      </c>
      <c r="E26">
        <v>0.8885650634765625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294.51953125</v>
      </c>
      <c r="D27">
        <v>0.3497314453125</v>
      </c>
      <c r="E27">
        <v>0.60528564453125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294.61767578125</v>
      </c>
      <c r="D28">
        <v>-0.2249755859375</v>
      </c>
      <c r="E28">
        <v>-0.7330322265625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294.7493896484375</v>
      </c>
      <c r="D29">
        <v>-0.837493896484375</v>
      </c>
      <c r="E29">
        <v>-1.387939453125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294.693603515625</v>
      </c>
      <c r="D30">
        <v>-1.22479248046875</v>
      </c>
      <c r="E30">
        <v>-1.8298492431640625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294.5052490234375</v>
      </c>
      <c r="D31">
        <v>-1.4539947509765625</v>
      </c>
      <c r="E31">
        <v>-2.022979736328125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294.1619873046875</v>
      </c>
      <c r="D32">
        <v>-1.27703857421875</v>
      </c>
      <c r="E32">
        <v>-2.183868408203125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293.985595703125</v>
      </c>
      <c r="D33">
        <v>-0.963592529296875</v>
      </c>
      <c r="E33">
        <v>-2.2529754638671875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294.1162109375</v>
      </c>
      <c r="D34">
        <v>-0.856414794921875</v>
      </c>
      <c r="E34">
        <v>-2.2911834716796875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294.166259765625</v>
      </c>
      <c r="D35">
        <v>-0.889923095703125</v>
      </c>
      <c r="E35">
        <v>-2.3000030517578125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293.439208984375</v>
      </c>
      <c r="D36">
        <v>-0.9659423828125</v>
      </c>
      <c r="E36">
        <v>-2.5009002685546875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293.457763671875</v>
      </c>
      <c r="D37">
        <v>-1.1439971923828125</v>
      </c>
      <c r="E37">
        <v>-2.58648681640625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293.462890625</v>
      </c>
      <c r="D38">
        <v>-1.2502593994140625</v>
      </c>
      <c r="E38">
        <v>-2.5690155029296875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293.4044189453125</v>
      </c>
      <c r="D39">
        <v>-1.31781005859375</v>
      </c>
      <c r="E39">
        <v>-2.5457763671875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293.1719970703125</v>
      </c>
      <c r="D40">
        <v>-1.2672271728515625</v>
      </c>
      <c r="E40">
        <v>-2.564422607421875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293.014404296875</v>
      </c>
      <c r="D41">
        <v>-1.2030487060546875</v>
      </c>
      <c r="E41">
        <v>-2.5971527099609375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292.8033447265625</v>
      </c>
      <c r="D42">
        <v>-1.029144287109375</v>
      </c>
      <c r="E42">
        <v>-2.3923187255859375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292.6759033203125</v>
      </c>
      <c r="D43">
        <v>-0.8389739990234375</v>
      </c>
      <c r="E43">
        <v>-2.016326904296875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292.6690673828125</v>
      </c>
      <c r="D44">
        <v>-0.805633544921875</v>
      </c>
      <c r="E44">
        <v>-1.9301910400390625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294.076904296875</v>
      </c>
      <c r="D45">
        <v>-0.9671630859375</v>
      </c>
      <c r="E45">
        <v>-1.8986663818359375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295.9896240234375</v>
      </c>
      <c r="D46">
        <v>-1.0948486328125</v>
      </c>
      <c r="E46">
        <v>-1.6604461669921875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297.207275390625</v>
      </c>
      <c r="D47">
        <v>-1.19378662109375</v>
      </c>
      <c r="E47">
        <v>-1.3124847412109375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297.21044921875</v>
      </c>
      <c r="D48">
        <v>-0.6232757568359375</v>
      </c>
      <c r="E48">
        <v>-1.178253173828125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297.58203125</v>
      </c>
      <c r="D49">
        <v>-0.5118255615234375</v>
      </c>
      <c r="E49">
        <v>-1.0540924072265625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297.6353759765625</v>
      </c>
      <c r="D50">
        <v>-4.50592041015625E-2</v>
      </c>
      <c r="E50">
        <v>-0.700775146484375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297.2764892578125</v>
      </c>
      <c r="D51">
        <v>-0.16033935546875</v>
      </c>
      <c r="E51">
        <v>-1.2172088623046875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296.6630859375</v>
      </c>
      <c r="D52">
        <v>-0.86700439453125</v>
      </c>
      <c r="E52">
        <v>-1.821136474609375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296.02978515625</v>
      </c>
      <c r="D53">
        <v>-1.33685302734375</v>
      </c>
      <c r="E53">
        <v>-2.0889739990234375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295.4801025390625</v>
      </c>
      <c r="D54">
        <v>-1.3960113525390625</v>
      </c>
      <c r="E54">
        <v>-2.157501220703125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294.959228515625</v>
      </c>
      <c r="D55">
        <v>-1.3593292236328125</v>
      </c>
      <c r="E55">
        <v>-2.1156768798828125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294.48583984375</v>
      </c>
      <c r="D56">
        <v>-1.3282012939453125</v>
      </c>
      <c r="E56">
        <v>-1.94439697265625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294.0963134765625</v>
      </c>
      <c r="D57">
        <v>-1.2463226318359375</v>
      </c>
      <c r="E57">
        <v>-1.839080810546875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293.956298828125</v>
      </c>
      <c r="D58">
        <v>-1.147308349609375</v>
      </c>
      <c r="E58">
        <v>-1.817535400390625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293.887451171875</v>
      </c>
      <c r="D59">
        <v>-1.057891845703125</v>
      </c>
      <c r="E59">
        <v>-1.7934417724609375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293.02001953125</v>
      </c>
      <c r="D60">
        <v>-0.6239471435546875</v>
      </c>
      <c r="E60">
        <v>-1.8994903564453125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293.31689453125</v>
      </c>
      <c r="D61">
        <v>-0.5278167724609375</v>
      </c>
      <c r="E61">
        <v>-1.976898193359375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293.306396484375</v>
      </c>
      <c r="D62">
        <v>-0.6731109619140625</v>
      </c>
      <c r="E62">
        <v>-1.9360504150390625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293.23193359375</v>
      </c>
      <c r="D63">
        <v>-0.883087158203125</v>
      </c>
      <c r="E63">
        <v>-1.9467315673828125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293.02197265625</v>
      </c>
      <c r="D64">
        <v>-0.9951629638671875</v>
      </c>
      <c r="E64">
        <v>-1.97625732421875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292.488525390625</v>
      </c>
      <c r="D65">
        <v>-1.1002349853515625</v>
      </c>
      <c r="E65">
        <v>-1.899566650390625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292.098876953125</v>
      </c>
      <c r="D66">
        <v>-0.79693603515625</v>
      </c>
      <c r="E66">
        <v>-1.53460693359375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291.73828125</v>
      </c>
      <c r="D67">
        <v>-0.657958984375</v>
      </c>
      <c r="E67">
        <v>-0.7105865478515625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291.1259765625</v>
      </c>
      <c r="D68">
        <v>-0.502166748046875</v>
      </c>
      <c r="E68">
        <v>0.53057861328125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291.04541015625</v>
      </c>
      <c r="D69">
        <v>0.1744537353515625</v>
      </c>
      <c r="E69">
        <v>1.2298126220703125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291.459228515625</v>
      </c>
      <c r="D70">
        <v>1.0393218994140625</v>
      </c>
      <c r="E70">
        <v>1.4741973876953125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291.4990234375</v>
      </c>
      <c r="D71">
        <v>1.27386474609375</v>
      </c>
      <c r="E71">
        <v>1.3905792236328125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291.772216796875</v>
      </c>
      <c r="D72">
        <v>-0.53857421875</v>
      </c>
      <c r="E72">
        <v>1.5105133056640625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292.217529296875</v>
      </c>
      <c r="D73">
        <v>-0.9300537109375</v>
      </c>
      <c r="E73">
        <v>1.992767333984375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291.523193359375</v>
      </c>
      <c r="D74">
        <v>0.1485748291015625</v>
      </c>
      <c r="E74">
        <v>1.9290924072265625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289.939208984375</v>
      </c>
      <c r="D75">
        <v>1.517425537109375</v>
      </c>
      <c r="E75">
        <v>1.44293212890625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288.2520751953125</v>
      </c>
      <c r="D76">
        <v>1.00299072265625</v>
      </c>
      <c r="E76">
        <v>1.0037078857421875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287.5035400390625</v>
      </c>
      <c r="D77">
        <v>0.6044921875</v>
      </c>
      <c r="E77">
        <v>0.5879364013671875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287.1376953125</v>
      </c>
      <c r="D78">
        <v>5.2032470703125E-2</v>
      </c>
      <c r="E78">
        <v>0.158782958984375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286.8800048828125</v>
      </c>
      <c r="D79">
        <v>-0.6733245849609375</v>
      </c>
      <c r="E79">
        <v>-0.1236114501953125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286.65234375</v>
      </c>
      <c r="D80">
        <v>-0.9696807861328125</v>
      </c>
      <c r="E80">
        <v>-0.5663299560546875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286.7537841796875</v>
      </c>
      <c r="D81">
        <v>-0.950927734375</v>
      </c>
      <c r="E81">
        <v>-1.2571563720703125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286.774658203125</v>
      </c>
      <c r="D82">
        <v>-1.281463623046875</v>
      </c>
      <c r="E82">
        <v>-1.216888427734375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286.6944580078125</v>
      </c>
      <c r="D83">
        <v>-1.0499725341796875</v>
      </c>
      <c r="E83">
        <v>-1.69354248046875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285.7869873046875</v>
      </c>
      <c r="D84">
        <v>-1.0387725830078125</v>
      </c>
      <c r="E84">
        <v>-1.2438507080078125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285.922607421875</v>
      </c>
      <c r="D85">
        <v>-0.97393798828125</v>
      </c>
      <c r="E85">
        <v>-1.337890625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285.88815307617188</v>
      </c>
      <c r="D86">
        <v>-1.01959228515625</v>
      </c>
      <c r="E86">
        <v>-1.5529632568359375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285.99420166015625</v>
      </c>
      <c r="D87">
        <v>-0.843414306640625</v>
      </c>
      <c r="E87">
        <v>-1.6708221435546875</v>
      </c>
      <c r="F87">
        <v>0</v>
      </c>
      <c r="G87">
        <f>Sayfa1!F87*1000</f>
        <v>0</v>
      </c>
    </row>
    <row r="88" spans="2:7" x14ac:dyDescent="0.3">
      <c r="B88" s="1">
        <v>0.58333333333333337</v>
      </c>
      <c r="C88">
        <v>286.180908203125</v>
      </c>
      <c r="D88">
        <v>-0.750732421875</v>
      </c>
      <c r="E88">
        <v>-1.65478515625</v>
      </c>
      <c r="F88">
        <v>0</v>
      </c>
      <c r="G88">
        <f>Sayfa1!F88*1000</f>
        <v>0</v>
      </c>
    </row>
    <row r="89" spans="2:7" x14ac:dyDescent="0.3">
      <c r="B89" s="1">
        <v>0.625</v>
      </c>
      <c r="C89">
        <v>285.87841796875</v>
      </c>
      <c r="D89">
        <v>-0.5779571533203125</v>
      </c>
      <c r="E89">
        <v>-1.62945556640625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285.17684936523438</v>
      </c>
      <c r="D90">
        <v>-0.204010009765625</v>
      </c>
      <c r="E90">
        <v>-1.51947021484375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285.02334594726563</v>
      </c>
      <c r="D91">
        <v>-0.1556549072265625</v>
      </c>
      <c r="E91">
        <v>-1.489044189453125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286.22662353515625</v>
      </c>
      <c r="D92">
        <v>2.79998779296875E-2</v>
      </c>
      <c r="E92">
        <v>-1.4580230712890625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288.1640625</v>
      </c>
      <c r="D93">
        <v>0.165740966796875</v>
      </c>
      <c r="E93">
        <v>-1.9572296142578125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289.880126953125</v>
      </c>
      <c r="D94">
        <v>0.1223907470703125</v>
      </c>
      <c r="E94">
        <v>-2.3433685302734375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291.2860107421875</v>
      </c>
      <c r="D95">
        <v>0.1513519287109375</v>
      </c>
      <c r="E95">
        <v>-2.560516357421875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290.6597900390625</v>
      </c>
      <c r="D96">
        <v>2.83355712890625E-2</v>
      </c>
      <c r="E96">
        <v>-1.279144287109375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291.091796875</v>
      </c>
      <c r="D97">
        <v>0.143218994140625</v>
      </c>
      <c r="E97">
        <v>-1.2770843505859375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291.111572265625</v>
      </c>
      <c r="D98">
        <v>0.315216064453125</v>
      </c>
      <c r="E98">
        <v>-1.6593017578125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290.7828369140625</v>
      </c>
      <c r="D99">
        <v>0.5822906494140625</v>
      </c>
      <c r="E99">
        <v>-1.4725799560546875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290.364013671875</v>
      </c>
      <c r="D100">
        <v>0.3597259521484375</v>
      </c>
      <c r="E100">
        <v>-1.6716156005859375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289.90838623046875</v>
      </c>
      <c r="D101">
        <v>-9.368896484375E-3</v>
      </c>
      <c r="E101">
        <v>-2.00701904296875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289.29437255859375</v>
      </c>
      <c r="D102">
        <v>-0.31561279296875</v>
      </c>
      <c r="E102">
        <v>-2.2671051025390625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288.775146484375</v>
      </c>
      <c r="D103">
        <v>-0.4249725341796875</v>
      </c>
      <c r="E103">
        <v>-2.3345947265625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288.2391357421875</v>
      </c>
      <c r="D104">
        <v>-0.56475830078125</v>
      </c>
      <c r="E104">
        <v>-2.5240325927734375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287.8724365234375</v>
      </c>
      <c r="D105">
        <v>-0.5595855712890625</v>
      </c>
      <c r="E105">
        <v>-2.6110382080078125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287.66943359375</v>
      </c>
      <c r="D106">
        <v>-0.5140228271484375</v>
      </c>
      <c r="E106">
        <v>-2.686737060546875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287.601806640625</v>
      </c>
      <c r="D107">
        <v>-0.5509185791015625</v>
      </c>
      <c r="E107">
        <v>-2.7384490966796875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288.1396484375</v>
      </c>
      <c r="D108">
        <v>-0.4510955810546875</v>
      </c>
      <c r="E108">
        <v>-2.8040771484375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288.369384765625</v>
      </c>
      <c r="D109">
        <v>-0.605255126953125</v>
      </c>
      <c r="E109">
        <v>-2.7314300537109375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288.8477783203125</v>
      </c>
      <c r="D110">
        <v>-0.6864013671875</v>
      </c>
      <c r="E110">
        <v>-2.7114105224609375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289.27587890625</v>
      </c>
      <c r="D111">
        <v>-0.7042236328125</v>
      </c>
      <c r="E111">
        <v>-2.73382568359375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289.6817626953125</v>
      </c>
      <c r="D112">
        <v>-0.8021392822265625</v>
      </c>
      <c r="E112">
        <v>-2.676666259765625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290.06982421875</v>
      </c>
      <c r="D113">
        <v>-0.88055419921875</v>
      </c>
      <c r="E113">
        <v>-2.66387939453125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290.3876953125</v>
      </c>
      <c r="D114">
        <v>-0.785675048828125</v>
      </c>
      <c r="E114">
        <v>-2.48907470703125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290.5145263671875</v>
      </c>
      <c r="D115">
        <v>-0.6073150634765625</v>
      </c>
      <c r="E115">
        <v>-2.3430328369140625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290.414306640625</v>
      </c>
      <c r="D116">
        <v>-0.3809661865234375</v>
      </c>
      <c r="E116">
        <v>-2.118560791015625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292.6080322265625</v>
      </c>
      <c r="D117">
        <v>-0.4134063720703125</v>
      </c>
      <c r="E117">
        <v>-2.01220703125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294.3828125</v>
      </c>
      <c r="D118">
        <v>-0.7674102783203125</v>
      </c>
      <c r="E118">
        <v>-1.98956298828125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295.6080322265625</v>
      </c>
      <c r="D119">
        <v>-1.0640106201171875</v>
      </c>
      <c r="E119">
        <v>-1.9757843017578125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296.0526123046875</v>
      </c>
      <c r="D120">
        <v>-0.1932830810546875</v>
      </c>
      <c r="E120">
        <v>-1.2206268310546875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296.3746337890625</v>
      </c>
      <c r="D121">
        <v>-0.1100311279296875</v>
      </c>
      <c r="E121">
        <v>-1.11065673828125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296.2581787109375</v>
      </c>
      <c r="D122">
        <v>0.2598419189453125</v>
      </c>
      <c r="E122">
        <v>-0.8836212158203125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295.7728271484375</v>
      </c>
      <c r="D123">
        <v>0.4427642822265625</v>
      </c>
      <c r="E123">
        <v>-1.2611236572265625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295.30218505859375</v>
      </c>
      <c r="D124">
        <v>-7.02667236328125E-2</v>
      </c>
      <c r="E124">
        <v>-1.757080078125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294.813232421875</v>
      </c>
      <c r="D125">
        <v>-0.4459686279296875</v>
      </c>
      <c r="E125">
        <v>-2.1685791015625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294.48492431640625</v>
      </c>
      <c r="D126">
        <v>-0.7926483154296875</v>
      </c>
      <c r="E126">
        <v>-2.294647216796875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294.18997192382813</v>
      </c>
      <c r="D127">
        <v>-0.9204559326171875</v>
      </c>
      <c r="E127">
        <v>-2.3355560302734375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293.98977661132813</v>
      </c>
      <c r="D128">
        <v>-0.9913177490234375</v>
      </c>
      <c r="E128">
        <v>-2.3809814453125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293.9212646484375</v>
      </c>
      <c r="D129">
        <v>-0.99285888671875</v>
      </c>
      <c r="E129">
        <v>-2.45904541015625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293.772705078125</v>
      </c>
      <c r="D130">
        <v>-0.8267822265625</v>
      </c>
      <c r="E130">
        <v>-2.53076171875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293.53607177734375</v>
      </c>
      <c r="D131">
        <v>-0.8682708740234375</v>
      </c>
      <c r="E131">
        <v>-2.5170440673828125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293.241943359375</v>
      </c>
      <c r="D132">
        <v>-0.8307037353515625</v>
      </c>
      <c r="E132">
        <v>-2.5196533203125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292.9716796875</v>
      </c>
      <c r="D133">
        <v>-0.80633544921875</v>
      </c>
      <c r="E133">
        <v>-2.4304046630859375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292.8447265625</v>
      </c>
      <c r="D134">
        <v>-0.80755615234375</v>
      </c>
      <c r="E134">
        <v>-2.4757232666015625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292.8218994140625</v>
      </c>
      <c r="D135">
        <v>-0.7408905029296875</v>
      </c>
      <c r="E135">
        <v>-2.567626953125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292.876220703125</v>
      </c>
      <c r="D136">
        <v>-0.947174072265625</v>
      </c>
      <c r="E136">
        <v>-2.5131378173828125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292.6572265625</v>
      </c>
      <c r="D137">
        <v>-0.95782470703125</v>
      </c>
      <c r="E137">
        <v>-2.4298858642578125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292.408203125</v>
      </c>
      <c r="D138">
        <v>-0.7544708251953125</v>
      </c>
      <c r="E138">
        <v>-2.037750244140625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292.26318359375</v>
      </c>
      <c r="D139">
        <v>-0.634033203125</v>
      </c>
      <c r="E139">
        <v>-1.5128326416015625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292.0888671875</v>
      </c>
      <c r="D140">
        <v>-0.55023193359375</v>
      </c>
      <c r="E140">
        <v>-0.9725341796875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293.874755859375</v>
      </c>
      <c r="D141">
        <v>0.248077392578125</v>
      </c>
      <c r="E141">
        <v>-8.76312255859375E-2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295.1666259765625</v>
      </c>
      <c r="D142">
        <v>0.9852752685546875</v>
      </c>
      <c r="E142">
        <v>0.4968109130859375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295.727783203125</v>
      </c>
      <c r="D143">
        <v>1.243408203125</v>
      </c>
      <c r="E143">
        <v>0.759857177734375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295.7633056640625</v>
      </c>
      <c r="D144">
        <v>1.304046630859375</v>
      </c>
      <c r="E144">
        <v>1.1309356689453125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295.513671875</v>
      </c>
      <c r="D145">
        <v>1.0461273193359375</v>
      </c>
      <c r="E145">
        <v>1.3068695068359375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294.73681640625</v>
      </c>
      <c r="D146">
        <v>0.538970947265625</v>
      </c>
      <c r="E146">
        <v>0.734954833984375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293.952392578125</v>
      </c>
      <c r="D147">
        <v>-3.43017578125E-2</v>
      </c>
      <c r="E147">
        <v>0.494873046875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293.1790771484375</v>
      </c>
      <c r="D148">
        <v>-0.5731658935546875</v>
      </c>
      <c r="E148">
        <v>6.73065185546875E-2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292.324462890625</v>
      </c>
      <c r="D149">
        <v>-0.8745880126953125</v>
      </c>
      <c r="E149">
        <v>-0.703765869140625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291.5166015625</v>
      </c>
      <c r="D150">
        <v>-1.0954742431640625</v>
      </c>
      <c r="E150">
        <v>-1.2350921630859375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290.9736328125</v>
      </c>
      <c r="D151">
        <v>-1.0951995849609375</v>
      </c>
      <c r="E151">
        <v>-1.7081451416015625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290.244384765625</v>
      </c>
      <c r="D152">
        <v>-1.0026397705078125</v>
      </c>
      <c r="E152">
        <v>-1.9629364013671875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289.63958740234375</v>
      </c>
      <c r="D153">
        <v>-0.928466796875</v>
      </c>
      <c r="E153">
        <v>-2.260833740234375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288.904541015625</v>
      </c>
      <c r="D154">
        <v>-0.7758636474609375</v>
      </c>
      <c r="E154">
        <v>-2.446014404296875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288.24627685546875</v>
      </c>
      <c r="D155">
        <v>-0.684661865234375</v>
      </c>
      <c r="E155">
        <v>-2.6205291748046875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288.8658447265625</v>
      </c>
      <c r="D156">
        <v>-0.4807891845703125</v>
      </c>
      <c r="E156">
        <v>-2.6080474853515625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288.216796875</v>
      </c>
      <c r="D157">
        <v>-0.4817657470703125</v>
      </c>
      <c r="E157">
        <v>-2.8454132080078125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288.47161865234375</v>
      </c>
      <c r="D158">
        <v>-0.5191192626953125</v>
      </c>
      <c r="E158">
        <v>-2.83697509765625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289.224365234375</v>
      </c>
      <c r="D159">
        <v>-0.4293975830078125</v>
      </c>
      <c r="E159">
        <v>-2.915313720703125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289.0731201171875</v>
      </c>
      <c r="D160">
        <v>-0.493743896484375</v>
      </c>
      <c r="E160">
        <v>-3.3252105712890625</v>
      </c>
      <c r="F160">
        <v>1.430511474609375E-6</v>
      </c>
      <c r="G160">
        <f>Sayfa1!F160*1000</f>
        <v>1.430511474609375E-3</v>
      </c>
    </row>
    <row r="161" spans="2:7" x14ac:dyDescent="0.3">
      <c r="B161" s="1">
        <v>0.625</v>
      </c>
      <c r="C161">
        <v>288.5338134765625</v>
      </c>
      <c r="D161">
        <v>-0.7729949951171875</v>
      </c>
      <c r="E161">
        <v>-3.68414306640625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288.28900146484375</v>
      </c>
      <c r="D162">
        <v>-1.6533050537109375</v>
      </c>
      <c r="E162">
        <v>-4.7903594970703125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288.22039794921875</v>
      </c>
      <c r="D163">
        <v>-1.81787109375</v>
      </c>
      <c r="E163">
        <v>-5.2032928466796875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288.68865966796875</v>
      </c>
      <c r="D164">
        <v>-2.870086669921875</v>
      </c>
      <c r="E164">
        <v>-6.1690673828125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289.79547119140625</v>
      </c>
      <c r="D165">
        <v>-2.7610626220703125</v>
      </c>
      <c r="E165">
        <v>-6.0634002685546875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290.89300537109375</v>
      </c>
      <c r="D166">
        <v>-3.1271514892578125</v>
      </c>
      <c r="E166">
        <v>-6.396484375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291.57080078125</v>
      </c>
      <c r="D167">
        <v>-3.1523590087890625</v>
      </c>
      <c r="E167">
        <v>-6.3648681640625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291.513427734375</v>
      </c>
      <c r="D168">
        <v>-3.0391998291015625</v>
      </c>
      <c r="E168">
        <v>-6.3355255126953125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291.6500244140625</v>
      </c>
      <c r="D169">
        <v>-2.5468902587890625</v>
      </c>
      <c r="E169">
        <v>-6.34375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291.59161376953125</v>
      </c>
      <c r="D170">
        <v>-1.7601470947265625</v>
      </c>
      <c r="E170">
        <v>-5.6303253173828125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291.1124267578125</v>
      </c>
      <c r="D171">
        <v>-0.9808197021484375</v>
      </c>
      <c r="E171">
        <v>-4.912139892578125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290.3956298828125</v>
      </c>
      <c r="D172">
        <v>-0.689849853515625</v>
      </c>
      <c r="E172">
        <v>-4.93157958984375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289.743408203125</v>
      </c>
      <c r="D173">
        <v>-1.075042724609375</v>
      </c>
      <c r="E173">
        <v>-4.971954345703125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289.196533203125</v>
      </c>
      <c r="D174">
        <v>-1.4711456298828125</v>
      </c>
      <c r="E174">
        <v>-5.316497802734375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288.705810546875</v>
      </c>
      <c r="D175">
        <v>-1.8588104248046875</v>
      </c>
      <c r="E175">
        <v>-5.8752288818359375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288.09173583984375</v>
      </c>
      <c r="D176">
        <v>-1.9283905029296875</v>
      </c>
      <c r="E176">
        <v>-6.3884735107421875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287.50482177734375</v>
      </c>
      <c r="D177">
        <v>-2.3036041259765625</v>
      </c>
      <c r="E177">
        <v>-6.5489959716796875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287.0474853515625</v>
      </c>
      <c r="D178">
        <v>-2.497314453125</v>
      </c>
      <c r="E178">
        <v>-6.605438232421875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286.69677734375</v>
      </c>
      <c r="D179">
        <v>-2.3759765625</v>
      </c>
      <c r="E179">
        <v>-6.8260040283203125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288.79766845703125</v>
      </c>
      <c r="D180">
        <v>-2.0792999267578125</v>
      </c>
      <c r="E180">
        <v>-6.430419921875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288.99261474609375</v>
      </c>
      <c r="D181">
        <v>-2.3234405517578125</v>
      </c>
      <c r="E181">
        <v>-5.814849853515625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288.99578857421875</v>
      </c>
      <c r="D182">
        <v>-2.0459442138671875</v>
      </c>
      <c r="E182">
        <v>-4.9275970458984375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288.66802978515625</v>
      </c>
      <c r="D183">
        <v>-1.46612548828125</v>
      </c>
      <c r="E183">
        <v>-4.249725341796875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288.2916259765625</v>
      </c>
      <c r="D184">
        <v>-1.050079345703125</v>
      </c>
      <c r="E184">
        <v>-3.84222412109375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287.878173828125</v>
      </c>
      <c r="D185">
        <v>-0.670928955078125</v>
      </c>
      <c r="E185">
        <v>-3.843658447265625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287.6248779296875</v>
      </c>
      <c r="D186">
        <v>-0.995391845703125</v>
      </c>
      <c r="E186">
        <v>-4.4867095947265625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288.056396484375</v>
      </c>
      <c r="D187">
        <v>-1.0787353515625</v>
      </c>
      <c r="E187">
        <v>-4.511962890625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289.2265625</v>
      </c>
      <c r="D188">
        <v>-2.8350372314453125</v>
      </c>
      <c r="E188">
        <v>-5.0950469970703125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290.3565673828125</v>
      </c>
      <c r="D189">
        <v>-3.7128753662109375</v>
      </c>
      <c r="E189">
        <v>-4.847412109375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291.200927734375</v>
      </c>
      <c r="D190">
        <v>-3.6174774169921875</v>
      </c>
      <c r="E190">
        <v>-4.8267364501953125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291.7161865234375</v>
      </c>
      <c r="D191">
        <v>-3.0557708740234375</v>
      </c>
      <c r="E191">
        <v>-4.859375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292.240966796875</v>
      </c>
      <c r="D192">
        <v>-2.3629608154296875</v>
      </c>
      <c r="E192">
        <v>-5.2426910400390625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292.7808837890625</v>
      </c>
      <c r="D193">
        <v>-1.9590911865234375</v>
      </c>
      <c r="E193">
        <v>-4.384063720703125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292.88983154296875</v>
      </c>
      <c r="D194">
        <v>-0.811737060546875</v>
      </c>
      <c r="E194">
        <v>-3.897369384765625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292.52447509765625</v>
      </c>
      <c r="D195">
        <v>-0.321502685546875</v>
      </c>
      <c r="E195">
        <v>-3.690155029296875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291.97943115234375</v>
      </c>
      <c r="D196">
        <v>-0.1362457275390625</v>
      </c>
      <c r="E196">
        <v>-3.041107177734375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291.53155517578125</v>
      </c>
      <c r="D197">
        <v>0.352752685546875</v>
      </c>
      <c r="E197">
        <v>-2.6971588134765625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291.279052734375</v>
      </c>
      <c r="D198">
        <v>0.126190185546875</v>
      </c>
      <c r="E198">
        <v>-2.6284637451171875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291.21002197265625</v>
      </c>
      <c r="D199">
        <v>-0.3589019775390625</v>
      </c>
      <c r="E199">
        <v>-2.6529693603515625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291.23785400390625</v>
      </c>
      <c r="D200">
        <v>-0.462310791015625</v>
      </c>
      <c r="E200">
        <v>-2.734344482421875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291.2210693359375</v>
      </c>
      <c r="D201">
        <v>-0.6077423095703125</v>
      </c>
      <c r="E201">
        <v>-2.7281036376953125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291.16845703125</v>
      </c>
      <c r="D202">
        <v>-0.6680755615234375</v>
      </c>
      <c r="E202">
        <v>-2.699737548828125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291.06524658203125</v>
      </c>
      <c r="D203">
        <v>-0.71533203125</v>
      </c>
      <c r="E203">
        <v>-2.63580322265625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290.27850341796875</v>
      </c>
      <c r="D204">
        <v>-0.9028778076171875</v>
      </c>
      <c r="E204">
        <v>-2.553009033203125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290.4619140625</v>
      </c>
      <c r="D205">
        <v>-0.7775421142578125</v>
      </c>
      <c r="E205">
        <v>-2.4837493896484375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290.702880859375</v>
      </c>
      <c r="D206">
        <v>-0.698699951171875</v>
      </c>
      <c r="E206">
        <v>-2.5369720458984375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290.838623046875</v>
      </c>
      <c r="D207">
        <v>-0.790435791015625</v>
      </c>
      <c r="E207">
        <v>-2.5958099365234375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290.8277587890625</v>
      </c>
      <c r="D208">
        <v>-0.82977294921875</v>
      </c>
      <c r="E208">
        <v>-2.5747528076171875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290.8056640625</v>
      </c>
      <c r="D209">
        <v>-0.848480224609375</v>
      </c>
      <c r="E209">
        <v>-2.6569366455078125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290.71173095703125</v>
      </c>
      <c r="D210">
        <v>-0.72369384765625</v>
      </c>
      <c r="E210">
        <v>-2.4773406982421875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290.85968017578125</v>
      </c>
      <c r="D211">
        <v>-0.407073974609375</v>
      </c>
      <c r="E211">
        <v>-2.0228118896484375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291.01348876953125</v>
      </c>
      <c r="D212">
        <v>-0.342987060546875</v>
      </c>
      <c r="E212">
        <v>-1.859527587890625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292.656494140625</v>
      </c>
      <c r="D213">
        <v>-1.7235107421875</v>
      </c>
      <c r="E213">
        <v>-2.8453369140625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293.75653076171875</v>
      </c>
      <c r="D214">
        <v>-2.3434295654296875</v>
      </c>
      <c r="E214">
        <v>-3.065643310546875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294.3739013671875</v>
      </c>
      <c r="D215">
        <v>-2.8838348388671875</v>
      </c>
      <c r="E215">
        <v>-3.1981201171875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295.6402587890625</v>
      </c>
      <c r="D216">
        <v>-1.6171417236328125</v>
      </c>
      <c r="E216">
        <v>-1.869476318359375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295.87115478515625</v>
      </c>
      <c r="D217">
        <v>-1.5369873046875</v>
      </c>
      <c r="E217">
        <v>-1.8152618408203125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295.650634765625</v>
      </c>
      <c r="D218">
        <v>-0.853424072265625</v>
      </c>
      <c r="E218">
        <v>-1.31939697265625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295.0721435546875</v>
      </c>
      <c r="D219">
        <v>-0.327178955078125</v>
      </c>
      <c r="E219">
        <v>-1.0767822265625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294.37841796875</v>
      </c>
      <c r="D220">
        <v>-0.429840087890625</v>
      </c>
      <c r="E220">
        <v>-2.1022186279296875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293.78936767578125</v>
      </c>
      <c r="D221">
        <v>-0.6613006591796875</v>
      </c>
      <c r="E221">
        <v>-2.491424560546875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293.0413818359375</v>
      </c>
      <c r="D222">
        <v>-0.77581787109375</v>
      </c>
      <c r="E222">
        <v>-2.6522369384765625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292.3419189453125</v>
      </c>
      <c r="D223">
        <v>-0.797210693359375</v>
      </c>
      <c r="E223">
        <v>-2.6916351318359375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291.963623046875</v>
      </c>
      <c r="D224">
        <v>-0.6172637939453125</v>
      </c>
      <c r="E224">
        <v>-2.769622802734375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291.56781005859375</v>
      </c>
      <c r="D225">
        <v>-0.3815460205078125</v>
      </c>
      <c r="E225">
        <v>-2.811737060546875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291.0770263671875</v>
      </c>
      <c r="D226">
        <v>-0.510467529296875</v>
      </c>
      <c r="E226">
        <v>-2.8550262451171875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290.51690673828125</v>
      </c>
      <c r="D227">
        <v>-0.66107177734375</v>
      </c>
      <c r="E227">
        <v>-2.807403564453125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291.3123779296875</v>
      </c>
      <c r="D228">
        <v>-1.0313568115234375</v>
      </c>
      <c r="E228">
        <v>-2.64178466796875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290.651611328125</v>
      </c>
      <c r="D229">
        <v>-0.8082733154296875</v>
      </c>
      <c r="E229">
        <v>-2.5269622802734375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290.078125</v>
      </c>
      <c r="D230">
        <v>-0.5420074462890625</v>
      </c>
      <c r="E230">
        <v>-2.509613037109375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289.56475830078125</v>
      </c>
      <c r="D231">
        <v>-0.3537750244140625</v>
      </c>
      <c r="E231">
        <v>-2.48968505859375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289.07476806640625</v>
      </c>
      <c r="D232">
        <v>-0.2438201904296875</v>
      </c>
      <c r="E232">
        <v>-2.3697357177734375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288.6148681640625</v>
      </c>
      <c r="D233">
        <v>-0.2487030029296875</v>
      </c>
      <c r="E233">
        <v>-2.343109130859375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288.31048583984375</v>
      </c>
      <c r="D234">
        <v>-0.3700714111328125</v>
      </c>
      <c r="E234">
        <v>-2.160980224609375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288.10577392578125</v>
      </c>
      <c r="D235">
        <v>-0.15618896484375</v>
      </c>
      <c r="E235">
        <v>-1.84405517578125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288.86614990234375</v>
      </c>
      <c r="D236">
        <v>-0.3155670166015625</v>
      </c>
      <c r="E236">
        <v>-2.21038818359375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290.5126953125</v>
      </c>
      <c r="D237">
        <v>-0.7052764892578125</v>
      </c>
      <c r="E237">
        <v>-2.571929931640625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291.78778076171875</v>
      </c>
      <c r="D238">
        <v>-0.8320770263671875</v>
      </c>
      <c r="E238">
        <v>-2.560546875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292.88128662109375</v>
      </c>
      <c r="D239">
        <v>-0.62579345703125</v>
      </c>
      <c r="E239">
        <v>-2.41693115234375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292.947998046875</v>
      </c>
      <c r="D240">
        <v>-0.529052734375</v>
      </c>
      <c r="E240">
        <v>-1.8001251220703125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293.534912109375</v>
      </c>
      <c r="D241">
        <v>5.19561767578125E-2</v>
      </c>
      <c r="E241">
        <v>-0.9966888427734375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293.3768310546875</v>
      </c>
      <c r="D242">
        <v>0.599609375</v>
      </c>
      <c r="E242">
        <v>-0.300537109375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292.5010986328125</v>
      </c>
      <c r="D243">
        <v>0.977752685546875</v>
      </c>
      <c r="E243">
        <v>0.5207366943359375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291.7044677734375</v>
      </c>
      <c r="D244">
        <v>0.774322509765625</v>
      </c>
      <c r="E244">
        <v>0.167388916015625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291.108154296875</v>
      </c>
      <c r="D245">
        <v>0.504180908203125</v>
      </c>
      <c r="E245">
        <v>-0.3680572509765625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290.7403564453125</v>
      </c>
      <c r="D246">
        <v>-2.81829833984375E-2</v>
      </c>
      <c r="E246">
        <v>-0.86590576171875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290.6119384765625</v>
      </c>
      <c r="D247">
        <v>-0.55096435546875</v>
      </c>
      <c r="E247">
        <v>-1.3660736083984375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290.597412109375</v>
      </c>
      <c r="D248">
        <v>-0.8438720703125</v>
      </c>
      <c r="E248">
        <v>-1.70098876953125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290.6065673828125</v>
      </c>
      <c r="D249">
        <v>-1.044677734375</v>
      </c>
      <c r="E249">
        <v>-1.8341522216796875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290.5721435546875</v>
      </c>
      <c r="D250">
        <v>-1.1070098876953125</v>
      </c>
      <c r="E250">
        <v>-1.840911865234375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290.40380859375</v>
      </c>
      <c r="D251">
        <v>-1.15203857421875</v>
      </c>
      <c r="E251">
        <v>-1.7791900634765625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289.6256103515625</v>
      </c>
      <c r="D252">
        <v>-1.3643646240234375</v>
      </c>
      <c r="E252">
        <v>-1.4655914306640625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289.322509765625</v>
      </c>
      <c r="D253">
        <v>-1.5337982177734375</v>
      </c>
      <c r="E253">
        <v>-1.5374755859375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288.98876953125</v>
      </c>
      <c r="D254">
        <v>-1.5914764404296875</v>
      </c>
      <c r="E254">
        <v>-1.784149169921875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289.26123046875</v>
      </c>
      <c r="D255">
        <v>-1.3616790771484375</v>
      </c>
      <c r="E255">
        <v>-1.9038848876953125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289.38671875</v>
      </c>
      <c r="D256">
        <v>-1.0454864501953125</v>
      </c>
      <c r="E256">
        <v>-2.16259765625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289.4091796875</v>
      </c>
      <c r="D257">
        <v>-0.9871978759765625</v>
      </c>
      <c r="E257">
        <v>-2.3199615478515625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289.123291015625</v>
      </c>
      <c r="D258">
        <v>-0.923370361328125</v>
      </c>
      <c r="E258">
        <v>-2.20159912109375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288.9119873046875</v>
      </c>
      <c r="D259">
        <v>-0.6009521484375</v>
      </c>
      <c r="E259">
        <v>-1.9700775146484375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289.0897216796875</v>
      </c>
      <c r="D260">
        <v>-0.4181060791015625</v>
      </c>
      <c r="E260">
        <v>-1.87353515625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291.16827392578125</v>
      </c>
      <c r="D261">
        <v>-1.5782012939453125</v>
      </c>
      <c r="E261">
        <v>-3.3907928466796875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292.36749267578125</v>
      </c>
      <c r="D262">
        <v>-2.30560302734375</v>
      </c>
      <c r="E262">
        <v>-3.657867431640625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293.260986328125</v>
      </c>
      <c r="D263">
        <v>-2.16998291015625</v>
      </c>
      <c r="E263">
        <v>-3.6618194580078125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293.862548828125</v>
      </c>
      <c r="D264">
        <v>-1.189117431640625</v>
      </c>
      <c r="E264">
        <v>-2.871856689453125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294.1307373046875</v>
      </c>
      <c r="D265">
        <v>-1.2687225341796875</v>
      </c>
      <c r="E265">
        <v>-3.34326171875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293.9559326171875</v>
      </c>
      <c r="D266">
        <v>-0.720306396484375</v>
      </c>
      <c r="E266">
        <v>-2.92694091796875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293.4403076171875</v>
      </c>
      <c r="D267">
        <v>3.4088134765625E-2</v>
      </c>
      <c r="E267">
        <v>-2.864501953125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292.79852294921875</v>
      </c>
      <c r="D268">
        <v>0.15289306640625</v>
      </c>
      <c r="E268">
        <v>-3.0929718017578125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291.8408203125</v>
      </c>
      <c r="D269">
        <v>-7.6324462890625E-2</v>
      </c>
      <c r="E269">
        <v>-3.352386474609375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290.8067626953125</v>
      </c>
      <c r="D270">
        <v>-0.1017913818359375</v>
      </c>
      <c r="E270">
        <v>-3.1204071044921875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290.298828125</v>
      </c>
      <c r="D271">
        <v>0.1474609375</v>
      </c>
      <c r="E271">
        <v>-2.7663726806640625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290.07958984375</v>
      </c>
      <c r="D272">
        <v>4.75006103515625E-2</v>
      </c>
      <c r="E272">
        <v>-2.77386474609375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289.88238525390625</v>
      </c>
      <c r="D273">
        <v>0.2102813720703125</v>
      </c>
      <c r="E273">
        <v>-2.7491912841796875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289.61773681640625</v>
      </c>
      <c r="D274">
        <v>0.2108917236328125</v>
      </c>
      <c r="E274">
        <v>-2.8347320556640625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289.21435546875</v>
      </c>
      <c r="D275">
        <v>-0.2241363525390625</v>
      </c>
      <c r="E275">
        <v>-2.9898834228515625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289.36962890625</v>
      </c>
      <c r="D276">
        <v>-0.571807861328125</v>
      </c>
      <c r="E276">
        <v>-2.7770538330078125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288.94439697265625</v>
      </c>
      <c r="D277">
        <v>-0.4078826904296875</v>
      </c>
      <c r="E277">
        <v>-2.779693603515625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288.65386962890625</v>
      </c>
      <c r="D278">
        <v>-0.119171142578125</v>
      </c>
      <c r="E278">
        <v>-2.7117156982421875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288.57586669921875</v>
      </c>
      <c r="D279">
        <v>-0.2613983154296875</v>
      </c>
      <c r="E279">
        <v>-2.6813201904296875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288.42327880859375</v>
      </c>
      <c r="D280">
        <v>-0.3298187255859375</v>
      </c>
      <c r="E280">
        <v>-2.6536102294921875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287.92156982421875</v>
      </c>
      <c r="D281">
        <v>-0.4002685546875</v>
      </c>
      <c r="E281">
        <v>-2.69573974609375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287.26104736328125</v>
      </c>
      <c r="D282">
        <v>-0.2615509033203125</v>
      </c>
      <c r="E282">
        <v>-2.5538177490234375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286.56829833984375</v>
      </c>
      <c r="D283">
        <v>3.98101806640625E-2</v>
      </c>
      <c r="E283">
        <v>-2.30938720703125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287.4884033203125</v>
      </c>
      <c r="D284">
        <v>-1.2943878173828125</v>
      </c>
      <c r="E284">
        <v>-3.476318359375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288.57177734375</v>
      </c>
      <c r="D285">
        <v>-1.7384796142578125</v>
      </c>
      <c r="E285">
        <v>-3.4217987060546875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289.2840576171875</v>
      </c>
      <c r="D286">
        <v>-1.740570068359375</v>
      </c>
      <c r="E286">
        <v>-2.882568359375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289.817626953125</v>
      </c>
      <c r="D287">
        <v>-1.5877685546875</v>
      </c>
      <c r="E287">
        <v>-2.7474212646484375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290.45159912109375</v>
      </c>
      <c r="D288">
        <v>-1.076416015625</v>
      </c>
      <c r="E288">
        <v>-1.851470947265625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290.78570556640625</v>
      </c>
      <c r="D289">
        <v>-1.1312408447265625</v>
      </c>
      <c r="E289">
        <v>-1.5409088134765625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290.8865966796875</v>
      </c>
      <c r="D290">
        <v>-0.7287445068359375</v>
      </c>
      <c r="E290">
        <v>-1.3760986328125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290.5703125</v>
      </c>
      <c r="D291">
        <v>-0.1574249267578125</v>
      </c>
      <c r="E291">
        <v>-1.337188720703125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289.9290771484375</v>
      </c>
      <c r="D292">
        <v>-0.6519622802734375</v>
      </c>
      <c r="E292">
        <v>-1.63861083984375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289.2415771484375</v>
      </c>
      <c r="D293">
        <v>-0.998382568359375</v>
      </c>
      <c r="E293">
        <v>-1.96795654296875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288.55316162109375</v>
      </c>
      <c r="D294">
        <v>-0.503753662109375</v>
      </c>
      <c r="E294">
        <v>-2.302978515625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288.0306396484375</v>
      </c>
      <c r="D295">
        <v>-0.8063507080078125</v>
      </c>
      <c r="E295">
        <v>-2.3014373779296875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287.66259765625</v>
      </c>
      <c r="D296">
        <v>-0.8858184814453125</v>
      </c>
      <c r="E296">
        <v>-2.4285888671875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287.41766357421875</v>
      </c>
      <c r="D297">
        <v>-0.659393310546875</v>
      </c>
      <c r="E297">
        <v>-2.5413360595703125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287.3017578125</v>
      </c>
      <c r="D298">
        <v>-0.5670928955078125</v>
      </c>
      <c r="E298">
        <v>-2.57177734375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287.23150634765625</v>
      </c>
      <c r="D299">
        <v>-0.57318115234375</v>
      </c>
      <c r="E299">
        <v>-2.6254425048828125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287.05316162109375</v>
      </c>
      <c r="D300">
        <v>-0.6751251220703125</v>
      </c>
      <c r="E300">
        <v>-2.3749237060546875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286.7515869140625</v>
      </c>
      <c r="D301">
        <v>-0.735595703125</v>
      </c>
      <c r="E301">
        <v>-2.3561248779296875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286.3443603515625</v>
      </c>
      <c r="D302">
        <v>-0.6559600830078125</v>
      </c>
      <c r="E302">
        <v>-2.4937286376953125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285.88214111328125</v>
      </c>
      <c r="D303">
        <v>-0.6490020751953125</v>
      </c>
      <c r="E303">
        <v>-2.5227508544921875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285.49346923828125</v>
      </c>
      <c r="D304">
        <v>-0.6236114501953125</v>
      </c>
      <c r="E304">
        <v>-2.4381256103515625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285.03900146484375</v>
      </c>
      <c r="D305">
        <v>-0.5927581787109375</v>
      </c>
      <c r="E305">
        <v>-2.5561370849609375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284.38397216796875</v>
      </c>
      <c r="D306">
        <v>-0.8267974853515625</v>
      </c>
      <c r="E306">
        <v>-2.901214599609375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284.41461181640625</v>
      </c>
      <c r="D307">
        <v>-1.189849853515625</v>
      </c>
      <c r="E307">
        <v>-3.37646484375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285.772216796875</v>
      </c>
      <c r="D308">
        <v>-2.742156982421875</v>
      </c>
      <c r="E308">
        <v>-4.40020751953125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286.87945556640625</v>
      </c>
      <c r="D309">
        <v>-3.29266357421875</v>
      </c>
      <c r="E309">
        <v>-4.1345977783203125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287.6446533203125</v>
      </c>
      <c r="D310">
        <v>-3.28955078125</v>
      </c>
      <c r="E310">
        <v>-3.6801910400390625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288.2589111328125</v>
      </c>
      <c r="D311">
        <v>-3.261505126953125</v>
      </c>
      <c r="E311">
        <v>-3.30413818359375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288.97979736328125</v>
      </c>
      <c r="D312">
        <v>-2.67449951171875</v>
      </c>
      <c r="E312">
        <v>-2.0371856689453125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289.44940185546875</v>
      </c>
      <c r="D313">
        <v>-2.4739990234375</v>
      </c>
      <c r="E313">
        <v>-1.798797607421875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289.470703125</v>
      </c>
      <c r="D314">
        <v>-1.9071502685546875</v>
      </c>
      <c r="E314">
        <v>-1.533233642578125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289.0494384765625</v>
      </c>
      <c r="D315">
        <v>-0.812286376953125</v>
      </c>
      <c r="E315">
        <v>-1.46337890625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288.3494873046875</v>
      </c>
      <c r="D316">
        <v>-0.27813720703125</v>
      </c>
      <c r="E316">
        <v>-1.9221649169921875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287.68341064453125</v>
      </c>
      <c r="D317">
        <v>-5.10406494140625E-2</v>
      </c>
      <c r="E317">
        <v>-2.326629638671875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287.18792724609375</v>
      </c>
      <c r="D318">
        <v>4.45556640625E-2</v>
      </c>
      <c r="E318">
        <v>-2.4871978759765625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286.728759765625</v>
      </c>
      <c r="D319">
        <v>4.7698974609375E-2</v>
      </c>
      <c r="E319">
        <v>-2.58154296875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286.34075927734375</v>
      </c>
      <c r="D320">
        <v>1.0955810546875E-2</v>
      </c>
      <c r="E320">
        <v>-2.6039886474609375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286.1065673828125</v>
      </c>
      <c r="D321">
        <v>-4.09088134765625E-2</v>
      </c>
      <c r="E321">
        <v>-2.5811767578125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285.962890625</v>
      </c>
      <c r="D322">
        <v>-0.1008453369140625</v>
      </c>
      <c r="E322">
        <v>-2.5894317626953125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285.7613525390625</v>
      </c>
      <c r="D323">
        <v>-0.1668243408203125</v>
      </c>
      <c r="E323">
        <v>-2.6696929931640625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285.8583984375</v>
      </c>
      <c r="D324">
        <v>-0.2016448974609375</v>
      </c>
      <c r="E324">
        <v>-2.3173980712890625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286.08709716796875</v>
      </c>
      <c r="D325">
        <v>-0.369354248046875</v>
      </c>
      <c r="E325">
        <v>-2.3218994140625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286.34442138671875</v>
      </c>
      <c r="D326">
        <v>-0.4927978515625</v>
      </c>
      <c r="E326">
        <v>-2.420989990234375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286.557373046875</v>
      </c>
      <c r="D327">
        <v>-0.5727996826171875</v>
      </c>
      <c r="E327">
        <v>-2.4517974853515625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286.59075927734375</v>
      </c>
      <c r="D328">
        <v>-0.6099090576171875</v>
      </c>
      <c r="E328">
        <v>-2.49151611328125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286.3253173828125</v>
      </c>
      <c r="D329">
        <v>-0.6610565185546875</v>
      </c>
      <c r="E329">
        <v>-2.553253173828125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285.9912109375</v>
      </c>
      <c r="D330">
        <v>-0.516021728515625</v>
      </c>
      <c r="E330">
        <v>-2.28485107421875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285.5792236328125</v>
      </c>
      <c r="D331">
        <v>-0.2587890625</v>
      </c>
      <c r="E331">
        <v>-1.88433837890625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286.47674560546875</v>
      </c>
      <c r="D332">
        <v>-0.892791748046875</v>
      </c>
      <c r="E332">
        <v>-2.418365478515625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288.19573974609375</v>
      </c>
      <c r="D333">
        <v>-2.0667266845703125</v>
      </c>
      <c r="E333">
        <v>-2.8031463623046875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289.33203125</v>
      </c>
      <c r="D334">
        <v>-1.945037841796875</v>
      </c>
      <c r="E334">
        <v>-2.5486297607421875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290.2059326171875</v>
      </c>
      <c r="D335">
        <v>-1.8188629150390625</v>
      </c>
      <c r="E335">
        <v>-2.678802490234375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290.337890625</v>
      </c>
      <c r="D336">
        <v>-0.969268798828125</v>
      </c>
      <c r="E336">
        <v>-2.2051239013671875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291.227294921875</v>
      </c>
      <c r="D337">
        <v>-1.3076629638671875</v>
      </c>
      <c r="E337">
        <v>-2.418212890625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291.60052490234375</v>
      </c>
      <c r="D338">
        <v>-1.0196075439453125</v>
      </c>
      <c r="E338">
        <v>-2.098724365234375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291.24871826171875</v>
      </c>
      <c r="D339">
        <v>-8.4869384765625E-2</v>
      </c>
      <c r="E339">
        <v>-1.856719970703125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290.56195068359375</v>
      </c>
      <c r="D340">
        <v>0.1755523681640625</v>
      </c>
      <c r="E340">
        <v>-1.9999542236328125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290.06689453125</v>
      </c>
      <c r="D341">
        <v>5.38330078125E-2</v>
      </c>
      <c r="E341">
        <v>-2.259033203125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289.7047119140625</v>
      </c>
      <c r="D342">
        <v>-9.27581787109375E-2</v>
      </c>
      <c r="E342">
        <v>-2.3863677978515625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289.388671875</v>
      </c>
      <c r="D343">
        <v>-0.3558807373046875</v>
      </c>
      <c r="E343">
        <v>-2.499420166015625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289.07269287109375</v>
      </c>
      <c r="D344">
        <v>-0.4931182861328125</v>
      </c>
      <c r="E344">
        <v>-2.6253204345703125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288.73394775390625</v>
      </c>
      <c r="D345">
        <v>-0.5318145751953125</v>
      </c>
      <c r="E345">
        <v>-2.6588287353515625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288.44903564453125</v>
      </c>
      <c r="D346">
        <v>-0.5610504150390625</v>
      </c>
      <c r="E346">
        <v>-2.7004852294921875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288.29876708984375</v>
      </c>
      <c r="D347">
        <v>-0.601409912109375</v>
      </c>
      <c r="E347">
        <v>-2.7179412841796875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289.19696044921875</v>
      </c>
      <c r="D348">
        <v>-0.5998077392578125</v>
      </c>
      <c r="E348">
        <v>-2.6162109375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288.96746826171875</v>
      </c>
      <c r="D349">
        <v>-0.594970703125</v>
      </c>
      <c r="E349">
        <v>-2.5823822021484375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288.98199462890625</v>
      </c>
      <c r="D350">
        <v>-0.7235107421875</v>
      </c>
      <c r="E350">
        <v>-2.578125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289.07623291015625</v>
      </c>
      <c r="D351">
        <v>-0.790130615234375</v>
      </c>
      <c r="E351">
        <v>-2.622802734375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289.194091796875</v>
      </c>
      <c r="D352">
        <v>-0.8494110107421875</v>
      </c>
      <c r="E352">
        <v>-2.646392822265625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289.11688232421875</v>
      </c>
      <c r="D353">
        <v>-0.7650604248046875</v>
      </c>
      <c r="E353">
        <v>-2.6782073974609375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288.98614501953125</v>
      </c>
      <c r="D354">
        <v>-0.593902587890625</v>
      </c>
      <c r="E354">
        <v>-2.378509521484375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288.81396484375</v>
      </c>
      <c r="D355">
        <v>-0.4454345703125</v>
      </c>
      <c r="E355">
        <v>-2.15887451171875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289.22637939453125</v>
      </c>
      <c r="D356">
        <v>-0.857269287109375</v>
      </c>
      <c r="E356">
        <v>-2.7265777587890625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290.968994140625</v>
      </c>
      <c r="D357">
        <v>-2.0313873291015625</v>
      </c>
      <c r="E357">
        <v>-3.16961669921875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292.01263427734375</v>
      </c>
      <c r="D358">
        <v>-2.4090118408203125</v>
      </c>
      <c r="E358">
        <v>-2.5501556396484375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292.70281982421875</v>
      </c>
      <c r="D359">
        <v>-2.52166748046875</v>
      </c>
      <c r="E359">
        <v>-2.1859893798828125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293.14703369140625</v>
      </c>
      <c r="D360">
        <v>-2.4949493408203125</v>
      </c>
      <c r="E360">
        <v>-1.3748016357421875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293.30487060546875</v>
      </c>
      <c r="D361">
        <v>-2.0567626953125</v>
      </c>
      <c r="E361">
        <v>-1.377960205078125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293.11431884765625</v>
      </c>
      <c r="D362">
        <v>-1.477203369140625</v>
      </c>
      <c r="E362">
        <v>-1.0299835205078125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292.28509521484375</v>
      </c>
      <c r="D363">
        <v>-0.5909271240234375</v>
      </c>
      <c r="E363">
        <v>-1.151885986328125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291.27093505859375</v>
      </c>
      <c r="D364">
        <v>-0.5863494873046875</v>
      </c>
      <c r="E364">
        <v>-1.8768310546875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290.4993896484375</v>
      </c>
      <c r="D365">
        <v>-1.1192626953125</v>
      </c>
      <c r="E365">
        <v>-2.282318115234375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290.056396484375</v>
      </c>
      <c r="D366">
        <v>-1.213592529296875</v>
      </c>
      <c r="E366">
        <v>-2.401092529296875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289.76995849609375</v>
      </c>
      <c r="D367">
        <v>-0.9052886962890625</v>
      </c>
      <c r="E367">
        <v>-2.40631103515625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289.65289306640625</v>
      </c>
      <c r="D368">
        <v>-0.6379241943359375</v>
      </c>
      <c r="E368">
        <v>-2.3763427734375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289.65057373046875</v>
      </c>
      <c r="D369">
        <v>-0.568603515625</v>
      </c>
      <c r="E369">
        <v>-2.3488922119140625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289.568359375</v>
      </c>
      <c r="D370">
        <v>-0.6405181884765625</v>
      </c>
      <c r="E370">
        <v>-2.38531494140625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289.42022705078125</v>
      </c>
      <c r="D371">
        <v>-0.747222900390625</v>
      </c>
      <c r="E371">
        <v>-2.44708251953125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289.082763671875</v>
      </c>
      <c r="D372">
        <v>-0.5987701416015625</v>
      </c>
      <c r="E372">
        <v>-2.4946136474609375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288.9698486328125</v>
      </c>
      <c r="D373">
        <v>-0.732147216796875</v>
      </c>
      <c r="E373">
        <v>-2.530364990234375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288.87493896484375</v>
      </c>
      <c r="D374">
        <v>-0.839691162109375</v>
      </c>
      <c r="E374">
        <v>-2.53717041015625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288.822265625</v>
      </c>
      <c r="D375">
        <v>-0.9150390625</v>
      </c>
      <c r="E375">
        <v>-2.5831298828125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288.7940673828125</v>
      </c>
      <c r="D376">
        <v>-0.9484710693359375</v>
      </c>
      <c r="E376">
        <v>-2.617828369140625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288.74761962890625</v>
      </c>
      <c r="D377">
        <v>-0.9386444091796875</v>
      </c>
      <c r="E377">
        <v>-2.6612396240234375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288.6865234375</v>
      </c>
      <c r="D378">
        <v>-0.7823486328125</v>
      </c>
      <c r="E378">
        <v>-2.35675048828125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288.69378662109375</v>
      </c>
      <c r="D379">
        <v>-0.4929351806640625</v>
      </c>
      <c r="E379">
        <v>-1.807647705078125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288.86111450195313</v>
      </c>
      <c r="D380">
        <v>-0.3038177490234375</v>
      </c>
      <c r="E380">
        <v>-1.4918670654296875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290.594482421875</v>
      </c>
      <c r="D381">
        <v>-0.5764312744140625</v>
      </c>
      <c r="E381">
        <v>-0.9889068603515625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291.66729736328125</v>
      </c>
      <c r="D382">
        <v>-0.4856719970703125</v>
      </c>
      <c r="E382">
        <v>-0.1246490478515625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292.2550048828125</v>
      </c>
      <c r="D383">
        <v>0.3401641845703125</v>
      </c>
      <c r="E383">
        <v>0.751373291015625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291.753173828125</v>
      </c>
      <c r="D384">
        <v>1.704925537109375</v>
      </c>
      <c r="E384">
        <v>1.782257080078125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291.215576171875</v>
      </c>
      <c r="D385">
        <v>2.1932830810546875</v>
      </c>
      <c r="E385">
        <v>1.899658203125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290.3218994140625</v>
      </c>
      <c r="D386">
        <v>2.1362152099609375</v>
      </c>
      <c r="E386">
        <v>1.8397674560546875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289.088623046875</v>
      </c>
      <c r="D387">
        <v>1.1381683349609375</v>
      </c>
      <c r="E387">
        <v>1.4200592041015625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288.07635498046875</v>
      </c>
      <c r="D388">
        <v>0.5688934326171875</v>
      </c>
      <c r="E388">
        <v>1.1871185302734375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287.33807373046875</v>
      </c>
      <c r="D389">
        <v>-8.599853515625E-2</v>
      </c>
      <c r="E389">
        <v>0.9926300048828125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286.5809326171875</v>
      </c>
      <c r="D390">
        <v>-0.7975006103515625</v>
      </c>
      <c r="E390">
        <v>0.72320556640625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285.84136962890625</v>
      </c>
      <c r="D391">
        <v>-1.2516326904296875</v>
      </c>
      <c r="E391">
        <v>0.537933349609375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285.17926025390625</v>
      </c>
      <c r="D392">
        <v>-1.36065673828125</v>
      </c>
      <c r="E392">
        <v>0.3468170166015625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284.6246337890625</v>
      </c>
      <c r="D393">
        <v>-1.282257080078125</v>
      </c>
      <c r="E393">
        <v>0.1584930419921875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284.15020751953125</v>
      </c>
      <c r="D394">
        <v>-1.137420654296875</v>
      </c>
      <c r="E394">
        <v>-0.14990234375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283.7498779296875</v>
      </c>
      <c r="D395">
        <v>-1.0710296630859375</v>
      </c>
      <c r="E395">
        <v>-0.483489990234375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283.40325927734375</v>
      </c>
      <c r="D396">
        <v>-0.9493865966796875</v>
      </c>
      <c r="E396">
        <v>-0.561279296875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283.208251953125</v>
      </c>
      <c r="D397">
        <v>-0.9608306884765625</v>
      </c>
      <c r="E397">
        <v>-0.51617431640625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283.02154541015625</v>
      </c>
      <c r="D398">
        <v>-0.86566162109375</v>
      </c>
      <c r="E398">
        <v>-0.219085693359375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282.72515869140625</v>
      </c>
      <c r="D399">
        <v>-1.0554046630859375</v>
      </c>
      <c r="E399">
        <v>-0.4217681884765625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282.561279296875</v>
      </c>
      <c r="D400">
        <v>-1.134033203125</v>
      </c>
      <c r="E400">
        <v>-0.285400390625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282.57586669921875</v>
      </c>
      <c r="D401">
        <v>-1.0224456787109375</v>
      </c>
      <c r="E401">
        <v>-0.334228515625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282.565673828125</v>
      </c>
      <c r="D402">
        <v>-0.6749267578125</v>
      </c>
      <c r="E402">
        <v>-0.12542724609375</v>
      </c>
      <c r="F402">
        <v>4.76837158203125E-7</v>
      </c>
      <c r="G402">
        <f>Sayfa1!F402*1000</f>
        <v>4.76837158203125E-4</v>
      </c>
    </row>
    <row r="403" spans="2:7" x14ac:dyDescent="0.3">
      <c r="B403" s="1">
        <v>0.70833333333333337</v>
      </c>
      <c r="C403">
        <v>282.51092529296875</v>
      </c>
      <c r="D403">
        <v>-0.9398345947265625</v>
      </c>
      <c r="E403">
        <v>0.9351043701171875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283.79095458984375</v>
      </c>
      <c r="D404">
        <v>-0.3029327392578125</v>
      </c>
      <c r="E404">
        <v>1.397308349609375</v>
      </c>
      <c r="F404">
        <v>4.76837158203125E-7</v>
      </c>
      <c r="G404">
        <f>Sayfa1!F404*1000</f>
        <v>4.76837158203125E-4</v>
      </c>
    </row>
    <row r="405" spans="2:7" x14ac:dyDescent="0.3">
      <c r="B405" s="1">
        <v>0.79166666666666663</v>
      </c>
      <c r="C405">
        <v>284.90386962890625</v>
      </c>
      <c r="D405">
        <v>0.3896331787109375</v>
      </c>
      <c r="E405">
        <v>1.7346649169921875</v>
      </c>
      <c r="F405">
        <v>0</v>
      </c>
      <c r="G405">
        <f>Sayfa1!F405*1000</f>
        <v>0</v>
      </c>
    </row>
    <row r="406" spans="2:7" x14ac:dyDescent="0.3">
      <c r="B406" s="1">
        <v>0.83333333333333337</v>
      </c>
      <c r="C406">
        <v>285.7066650390625</v>
      </c>
      <c r="D406">
        <v>0.7911834716796875</v>
      </c>
      <c r="E406">
        <v>2.1051025390625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286.430419921875</v>
      </c>
      <c r="D407">
        <v>1.3569488525390625</v>
      </c>
      <c r="E407">
        <v>2.4736328125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286.7235107421875</v>
      </c>
      <c r="D408">
        <v>0.8860321044921875</v>
      </c>
      <c r="E408">
        <v>1.7001953125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287.265869140625</v>
      </c>
      <c r="D409">
        <v>1.03302001953125</v>
      </c>
      <c r="E409">
        <v>2.001617431640625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287.0838623046875</v>
      </c>
      <c r="D410">
        <v>0.9144439697265625</v>
      </c>
      <c r="E410">
        <v>2.2449188232421875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286.297607421875</v>
      </c>
      <c r="D411">
        <v>0.6289215087890625</v>
      </c>
      <c r="E411">
        <v>1.5369873046875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285.4268798828125</v>
      </c>
      <c r="D412">
        <v>0.4490966796875</v>
      </c>
      <c r="E412">
        <v>1.167694091796875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284.71331787109375</v>
      </c>
      <c r="D413">
        <v>6.30035400390625E-2</v>
      </c>
      <c r="E413">
        <v>0.9124755859375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284.19622802734375</v>
      </c>
      <c r="D414">
        <v>-0.289306640625</v>
      </c>
      <c r="E414">
        <v>0.5024566650390625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283.86328125</v>
      </c>
      <c r="D415">
        <v>-0.7422332763671875</v>
      </c>
      <c r="E415">
        <v>0.17193603515625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283.64117431640625</v>
      </c>
      <c r="D416">
        <v>-0.9345550537109375</v>
      </c>
      <c r="E416">
        <v>3.936767578125E-2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283.45697021484375</v>
      </c>
      <c r="D417">
        <v>-1.0407867431640625</v>
      </c>
      <c r="E417">
        <v>-0.1424407958984375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283.310546875</v>
      </c>
      <c r="D418">
        <v>-1.10491943359375</v>
      </c>
      <c r="E418">
        <v>-0.46685791015625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283.21356201171875</v>
      </c>
      <c r="D419">
        <v>-1.16644287109375</v>
      </c>
      <c r="E419">
        <v>-0.7985992431640625</v>
      </c>
      <c r="F419">
        <v>4.76837158203125E-6</v>
      </c>
      <c r="G419">
        <f>Sayfa1!F419*1000</f>
        <v>4.76837158203125E-3</v>
      </c>
    </row>
    <row r="420" spans="2:7" x14ac:dyDescent="0.3">
      <c r="B420" s="1">
        <v>0.41666666666666669</v>
      </c>
      <c r="C420">
        <v>282.64990234375</v>
      </c>
      <c r="D420">
        <v>-0.878143310546875</v>
      </c>
      <c r="E420">
        <v>-1.5062713623046875</v>
      </c>
      <c r="F420">
        <v>1.1444091796875E-5</v>
      </c>
      <c r="G420">
        <f>Sayfa1!F420*1000</f>
        <v>1.1444091796875E-2</v>
      </c>
    </row>
    <row r="421" spans="2:7" x14ac:dyDescent="0.3">
      <c r="B421" s="1">
        <v>0.45833333333333331</v>
      </c>
      <c r="C421">
        <v>282.85894775390625</v>
      </c>
      <c r="D421">
        <v>-0.94342041015625</v>
      </c>
      <c r="E421">
        <v>-1.71136474609375</v>
      </c>
      <c r="F421">
        <v>9.059906005859375E-6</v>
      </c>
      <c r="G421">
        <f>Sayfa1!F421*1000</f>
        <v>9.059906005859375E-3</v>
      </c>
    </row>
    <row r="422" spans="2:7" x14ac:dyDescent="0.3">
      <c r="B422" s="1">
        <v>0.5</v>
      </c>
      <c r="C422">
        <v>283.012451171875</v>
      </c>
      <c r="D422">
        <v>-1.0194854736328125</v>
      </c>
      <c r="E422">
        <v>-1.642974853515625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283.11083984375</v>
      </c>
      <c r="D423">
        <v>-1.054168701171875</v>
      </c>
      <c r="E423">
        <v>-1.6510009765625</v>
      </c>
      <c r="F423">
        <v>9.5367431640625E-7</v>
      </c>
      <c r="G423">
        <f>Sayfa1!F423*1000</f>
        <v>9.5367431640625E-4</v>
      </c>
    </row>
    <row r="424" spans="2:7" x14ac:dyDescent="0.3">
      <c r="B424" s="1">
        <v>0.58333333333333337</v>
      </c>
      <c r="C424">
        <v>283.2630615234375</v>
      </c>
      <c r="D424">
        <v>-0.932220458984375</v>
      </c>
      <c r="E424">
        <v>-1.559478759765625</v>
      </c>
      <c r="F424">
        <v>1.9073486328125E-6</v>
      </c>
      <c r="G424">
        <f>Sayfa1!F424*1000</f>
        <v>1.9073486328125E-3</v>
      </c>
    </row>
    <row r="425" spans="2:7" x14ac:dyDescent="0.3">
      <c r="B425" s="1">
        <v>0.625</v>
      </c>
      <c r="C425">
        <v>283.31488037109375</v>
      </c>
      <c r="D425">
        <v>-0.90765380859375</v>
      </c>
      <c r="E425">
        <v>-1.5699310302734375</v>
      </c>
      <c r="F425">
        <v>0</v>
      </c>
      <c r="G425">
        <f>Sayfa1!F425*1000</f>
        <v>0</v>
      </c>
    </row>
    <row r="426" spans="2:7" x14ac:dyDescent="0.3">
      <c r="B426" s="1">
        <v>0.66666666666666663</v>
      </c>
      <c r="C426">
        <v>283.4012451171875</v>
      </c>
      <c r="D426">
        <v>-0.5906219482421875</v>
      </c>
      <c r="E426">
        <v>-1.070159912109375</v>
      </c>
      <c r="F426">
        <v>0</v>
      </c>
      <c r="G426">
        <f>Sayfa1!F426*1000</f>
        <v>0</v>
      </c>
    </row>
    <row r="427" spans="2:7" x14ac:dyDescent="0.3">
      <c r="B427" s="1">
        <v>0.70833333333333337</v>
      </c>
      <c r="C427">
        <v>283.547607421875</v>
      </c>
      <c r="D427">
        <v>-0.4174652099609375</v>
      </c>
      <c r="E427">
        <v>-0.4359130859375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284.65966796875</v>
      </c>
      <c r="D428">
        <v>-0.38812255859375</v>
      </c>
      <c r="E428">
        <v>4.10003662109375E-2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286.59814453125</v>
      </c>
      <c r="D429">
        <v>-0.1143798828125</v>
      </c>
      <c r="E429">
        <v>0.1135711669921875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288.45947265625</v>
      </c>
      <c r="D430">
        <v>0.16571044921875</v>
      </c>
      <c r="E430">
        <v>0.2838134765625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289.9256591796875</v>
      </c>
      <c r="D431">
        <v>0.4356689453125</v>
      </c>
      <c r="E431">
        <v>0.7025604248046875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289.822021484375</v>
      </c>
      <c r="D432">
        <v>0.538360595703125</v>
      </c>
      <c r="E432">
        <v>1.207366943359375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290.31494140625</v>
      </c>
      <c r="D433">
        <v>0.7436065673828125</v>
      </c>
      <c r="E433">
        <v>1.4532623291015625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289.957275390625</v>
      </c>
      <c r="D434">
        <v>1.266693115234375</v>
      </c>
      <c r="E434">
        <v>1.85009765625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288.412353515625</v>
      </c>
      <c r="D435">
        <v>1.26336669921875</v>
      </c>
      <c r="E435">
        <v>1.6213531494140625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286.8709716796875</v>
      </c>
      <c r="D436">
        <v>0.9991455078125</v>
      </c>
      <c r="E436">
        <v>1.0846710205078125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286.4329833984375</v>
      </c>
      <c r="D437">
        <v>0.3439483642578125</v>
      </c>
      <c r="E437">
        <v>0.1849212646484375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286.93017578125</v>
      </c>
      <c r="D438">
        <v>-0.2206878662109375</v>
      </c>
      <c r="E438">
        <v>-0.5854339599609375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287.293701171875</v>
      </c>
      <c r="D439">
        <v>-0.44757080078125</v>
      </c>
      <c r="E439">
        <v>-0.731964111328125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287.125244140625</v>
      </c>
      <c r="D440">
        <v>-0.551544189453125</v>
      </c>
      <c r="E440">
        <v>-0.9008941650390625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286.6591796875</v>
      </c>
      <c r="D441">
        <v>-0.5814208984375</v>
      </c>
      <c r="E441">
        <v>-1.13751220703125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286.2786865234375</v>
      </c>
      <c r="D442">
        <v>-0.5943756103515625</v>
      </c>
      <c r="E442">
        <v>-1.3526458740234375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286.02099609375</v>
      </c>
      <c r="D443">
        <v>-0.6372528076171875</v>
      </c>
      <c r="E443">
        <v>-1.52862548828125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285.3218994140625</v>
      </c>
      <c r="D444">
        <v>-0.9425811767578125</v>
      </c>
      <c r="E444">
        <v>-1.703460693359375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285.3460693359375</v>
      </c>
      <c r="D445">
        <v>-0.8345184326171875</v>
      </c>
      <c r="E445">
        <v>-1.322418212890625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285.338623046875</v>
      </c>
      <c r="D446">
        <v>-0.886505126953125</v>
      </c>
      <c r="E446">
        <v>-1.361846923828125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285.261474609375</v>
      </c>
      <c r="D447">
        <v>-0.8164825439453125</v>
      </c>
      <c r="E447">
        <v>-1.4555816650390625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285.1240234375</v>
      </c>
      <c r="D448">
        <v>-1.011962890625</v>
      </c>
      <c r="E448">
        <v>-1.1598663330078125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284.585205078125</v>
      </c>
      <c r="D449">
        <v>-0.90362548828125</v>
      </c>
      <c r="E449">
        <v>-0.84521484375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283.9725341796875</v>
      </c>
      <c r="D450">
        <v>-0.3701934814453125</v>
      </c>
      <c r="E450">
        <v>-0.3742523193359375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283.6695556640625</v>
      </c>
      <c r="D451">
        <v>0.1829986572265625</v>
      </c>
      <c r="E451">
        <v>0.286651611328125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284.4757080078125</v>
      </c>
      <c r="D452">
        <v>0.5228271484375</v>
      </c>
      <c r="E452">
        <v>0.7006988525390625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285.98876953125</v>
      </c>
      <c r="D453">
        <v>0.96014404296875</v>
      </c>
      <c r="E453">
        <v>1.007080078125</v>
      </c>
      <c r="F453">
        <v>0</v>
      </c>
      <c r="G453">
        <f>Sayfa1!F453*1000</f>
        <v>0</v>
      </c>
    </row>
    <row r="454" spans="2:7" x14ac:dyDescent="0.3">
      <c r="B454" s="1">
        <v>0.83333333333333337</v>
      </c>
      <c r="C454">
        <v>287.285888671875</v>
      </c>
      <c r="D454">
        <v>1.5077056884765625</v>
      </c>
      <c r="E454">
        <v>1.369537353515625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288.222900390625</v>
      </c>
      <c r="D455">
        <v>2.0606842041015625</v>
      </c>
      <c r="E455">
        <v>1.835205078125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287.230712890625</v>
      </c>
      <c r="D456">
        <v>1.354522705078125</v>
      </c>
      <c r="E456">
        <v>1.2270965576171875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287.555419921875</v>
      </c>
      <c r="D457">
        <v>1.529510498046875</v>
      </c>
      <c r="E457">
        <v>1.5059051513671875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287.3212890625</v>
      </c>
      <c r="D458">
        <v>1.442413330078125</v>
      </c>
      <c r="E458">
        <v>1.621917724609375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286.2503662109375</v>
      </c>
      <c r="D459">
        <v>1.012359619140625</v>
      </c>
      <c r="E459">
        <v>1.3155517578125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285.07177734375</v>
      </c>
      <c r="D460">
        <v>0.8417816162109375</v>
      </c>
      <c r="E460">
        <v>1.139984130859375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284.3643798828125</v>
      </c>
      <c r="D461">
        <v>0.734710693359375</v>
      </c>
      <c r="E461">
        <v>0.7855682373046875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284.0885009765625</v>
      </c>
      <c r="D462">
        <v>0.31329345703125</v>
      </c>
      <c r="E462">
        <v>0.2663116455078125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284.010498046875</v>
      </c>
      <c r="D463">
        <v>-0.17913818359375</v>
      </c>
      <c r="E463">
        <v>-0.19805908203125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283.834228515625</v>
      </c>
      <c r="D464">
        <v>-0.3463287353515625</v>
      </c>
      <c r="E464">
        <v>-0.2630767822265625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283.5963134765625</v>
      </c>
      <c r="D465">
        <v>-0.7418212890625</v>
      </c>
      <c r="E465">
        <v>-0.528717041015625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283.451416015625</v>
      </c>
      <c r="D466">
        <v>-1.0869598388671875</v>
      </c>
      <c r="E466">
        <v>-0.786895751953125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283.5423583984375</v>
      </c>
      <c r="D467">
        <v>-0.9461669921875</v>
      </c>
      <c r="E467">
        <v>-1.238006591796875</v>
      </c>
      <c r="F467">
        <v>4.76837158203125E-7</v>
      </c>
      <c r="G467">
        <f>Sayfa1!F467*1000</f>
        <v>4.76837158203125E-4</v>
      </c>
    </row>
    <row r="468" spans="2:7" x14ac:dyDescent="0.3">
      <c r="B468" s="1">
        <v>0.41666666666666669</v>
      </c>
      <c r="C468">
        <v>283.67169189453125</v>
      </c>
      <c r="D468">
        <v>-0.81390380859375</v>
      </c>
      <c r="E468">
        <v>-1.712860107421875</v>
      </c>
      <c r="F468">
        <v>4.76837158203125E-7</v>
      </c>
      <c r="G468">
        <f>Sayfa1!F468*1000</f>
        <v>4.76837158203125E-4</v>
      </c>
    </row>
    <row r="469" spans="2:7" x14ac:dyDescent="0.3">
      <c r="B469" s="1">
        <v>0.45833333333333331</v>
      </c>
      <c r="C469">
        <v>284.40203857421875</v>
      </c>
      <c r="D469">
        <v>-0.6310272216796875</v>
      </c>
      <c r="E469">
        <v>-1.7719879150390625</v>
      </c>
      <c r="F469">
        <v>4.76837158203125E-7</v>
      </c>
      <c r="G469">
        <f>Sayfa1!F469*1000</f>
        <v>4.76837158203125E-4</v>
      </c>
    </row>
    <row r="470" spans="2:7" x14ac:dyDescent="0.3">
      <c r="B470" s="1">
        <v>0.5</v>
      </c>
      <c r="C470">
        <v>284.96673583984375</v>
      </c>
      <c r="D470">
        <v>-0.7328643798828125</v>
      </c>
      <c r="E470">
        <v>-1.8766937255859375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285.3907470703125</v>
      </c>
      <c r="D471">
        <v>-0.702850341796875</v>
      </c>
      <c r="E471">
        <v>-1.9774932861328125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285.7032470703125</v>
      </c>
      <c r="D472">
        <v>-0.710235595703125</v>
      </c>
      <c r="E472">
        <v>-2.1784210205078125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286.1910400390625</v>
      </c>
      <c r="D473">
        <v>-0.6726226806640625</v>
      </c>
      <c r="E473">
        <v>-2.3624114990234375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286.73193359375</v>
      </c>
      <c r="D474">
        <v>-0.5744171142578125</v>
      </c>
      <c r="E474">
        <v>-2.2612457275390625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286.7440185546875</v>
      </c>
      <c r="D475">
        <v>-0.5263519287109375</v>
      </c>
      <c r="E475">
        <v>-2.2333221435546875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287.8856201171875</v>
      </c>
      <c r="D476">
        <v>-2.05596923828125</v>
      </c>
      <c r="E476">
        <v>-3.0287933349609375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289.57281494140625</v>
      </c>
      <c r="D477">
        <v>-3.526153564453125</v>
      </c>
      <c r="E477">
        <v>-3.6672821044921875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290.05230712890625</v>
      </c>
      <c r="D478">
        <v>-4.0245361328125</v>
      </c>
      <c r="E478">
        <v>-3.654998779296875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290.23333740234375</v>
      </c>
      <c r="D479">
        <v>-3.996246337890625</v>
      </c>
      <c r="E479">
        <v>-3.335479736328125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290.40350341796875</v>
      </c>
      <c r="D480">
        <v>-3.7903900146484375</v>
      </c>
      <c r="E480">
        <v>-3.004119873046875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290.62274169921875</v>
      </c>
      <c r="D481">
        <v>-3.592620849609375</v>
      </c>
      <c r="E481">
        <v>-2.85186767578125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290.52789306640625</v>
      </c>
      <c r="D482">
        <v>-2.65911865234375</v>
      </c>
      <c r="E482">
        <v>-2.5148468017578125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290.12640380859375</v>
      </c>
      <c r="D483">
        <v>-1.308563232421875</v>
      </c>
      <c r="E483">
        <v>-2.2326507568359375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289.4483642578125</v>
      </c>
      <c r="D484">
        <v>-0.11627197265625</v>
      </c>
      <c r="E484">
        <v>-2.2978973388671875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288.60693359375</v>
      </c>
      <c r="D485">
        <v>0.218658447265625</v>
      </c>
      <c r="E485">
        <v>-2.3183746337890625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287.8226318359375</v>
      </c>
      <c r="D486">
        <v>0.30767822265625</v>
      </c>
      <c r="E486">
        <v>-2.3800811767578125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287.1251220703125</v>
      </c>
      <c r="D487">
        <v>0.2878875732421875</v>
      </c>
      <c r="E487">
        <v>-2.46099853515625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286.2515869140625</v>
      </c>
      <c r="D488">
        <v>0.1863250732421875</v>
      </c>
      <c r="E488">
        <v>-2.509796142578125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285.2607421875</v>
      </c>
      <c r="D489">
        <v>9.94873046875E-2</v>
      </c>
      <c r="E489">
        <v>-2.5934906005859375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284.6536865234375</v>
      </c>
      <c r="D490">
        <v>-0.1893463134765625</v>
      </c>
      <c r="E490">
        <v>-2.7593536376953125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284.290283203125</v>
      </c>
      <c r="D491">
        <v>-0.5114898681640625</v>
      </c>
      <c r="E491">
        <v>-2.8297882080078125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284.0047607421875</v>
      </c>
      <c r="D492">
        <v>-0.582611083984375</v>
      </c>
      <c r="E492">
        <v>-2.630615234375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283.72381591796875</v>
      </c>
      <c r="D493">
        <v>-0.261749267578125</v>
      </c>
      <c r="E493">
        <v>-2.6551361083984375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283.454345703125</v>
      </c>
      <c r="D494">
        <v>-3.64532470703125E-2</v>
      </c>
      <c r="E494">
        <v>-2.631011962890625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283.1756591796875</v>
      </c>
      <c r="D495">
        <v>-0.2657012939453125</v>
      </c>
      <c r="E495">
        <v>-2.6999664306640625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283.0260009765625</v>
      </c>
      <c r="D496">
        <v>-0.4573822021484375</v>
      </c>
      <c r="E496">
        <v>-2.7883453369140625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282.989013671875</v>
      </c>
      <c r="D497">
        <v>-0.3973388671875</v>
      </c>
      <c r="E497">
        <v>-2.8865509033203125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283.1759033203125</v>
      </c>
      <c r="D498">
        <v>-0.2660980224609375</v>
      </c>
      <c r="E498">
        <v>-2.67987060546875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283.6978759765625</v>
      </c>
      <c r="D499">
        <v>-7.7178955078125E-2</v>
      </c>
      <c r="E499">
        <v>-2.433837890625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286.0474853515625</v>
      </c>
      <c r="D500">
        <v>-0.295928955078125</v>
      </c>
      <c r="E500">
        <v>-2.991973876953125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288.18682861328125</v>
      </c>
      <c r="D501">
        <v>-1.076141357421875</v>
      </c>
      <c r="E501">
        <v>-3.7034912109375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289.56756591796875</v>
      </c>
      <c r="D502">
        <v>-1.747406005859375</v>
      </c>
      <c r="E502">
        <v>-4.170562744140625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290.61962890625</v>
      </c>
      <c r="D503">
        <v>-1.681488037109375</v>
      </c>
      <c r="E503">
        <v>-4.076690673828125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290.70556640625</v>
      </c>
      <c r="D504">
        <v>-1.2636871337890625</v>
      </c>
      <c r="E504">
        <v>-3.9875030517578125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291.38525390625</v>
      </c>
      <c r="D505">
        <v>-1.744873046875</v>
      </c>
      <c r="E505">
        <v>-4.0879669189453125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291.58984375</v>
      </c>
      <c r="D506">
        <v>-1.150177001953125</v>
      </c>
      <c r="E506">
        <v>-3.2804412841796875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291.1900634765625</v>
      </c>
      <c r="D507">
        <v>-0.2008209228515625</v>
      </c>
      <c r="E507">
        <v>-2.6582183837890625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290.5086669921875</v>
      </c>
      <c r="D508">
        <v>-0.336181640625</v>
      </c>
      <c r="E508">
        <v>-2.4788665771484375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289.9676513671875</v>
      </c>
      <c r="D509">
        <v>-0.537384033203125</v>
      </c>
      <c r="E509">
        <v>-2.421539306640625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289.64453125</v>
      </c>
      <c r="D510">
        <v>-0.6304931640625</v>
      </c>
      <c r="E510">
        <v>-2.4798126220703125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289.5272216796875</v>
      </c>
      <c r="D511">
        <v>-0.754791259765625</v>
      </c>
      <c r="E511">
        <v>-2.6136322021484375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289.5008544921875</v>
      </c>
      <c r="D512">
        <v>-0.8578338623046875</v>
      </c>
      <c r="E512">
        <v>-2.680023193359375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289.516357421875</v>
      </c>
      <c r="D513">
        <v>-0.9400482177734375</v>
      </c>
      <c r="E513">
        <v>-2.7022552490234375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289.55804443359375</v>
      </c>
      <c r="D514">
        <v>-1.0016937255859375</v>
      </c>
      <c r="E514">
        <v>-2.696533203125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289.61126708984375</v>
      </c>
      <c r="D515">
        <v>-1.022796630859375</v>
      </c>
      <c r="E515">
        <v>-2.7519989013671875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289.677001953125</v>
      </c>
      <c r="D516">
        <v>-0.8473968505859375</v>
      </c>
      <c r="E516">
        <v>-2.7557525634765625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289.880615234375</v>
      </c>
      <c r="D517">
        <v>-0.9792633056640625</v>
      </c>
      <c r="E517">
        <v>-2.7973480224609375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290.2188720703125</v>
      </c>
      <c r="D518">
        <v>-1.0645294189453125</v>
      </c>
      <c r="E518">
        <v>-2.8175048828125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290.3321533203125</v>
      </c>
      <c r="D519">
        <v>-1.032623291015625</v>
      </c>
      <c r="E519">
        <v>-2.9084014892578125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290.2362060546875</v>
      </c>
      <c r="D520">
        <v>-0.91021728515625</v>
      </c>
      <c r="E520">
        <v>-2.9791717529296875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290.2060546875</v>
      </c>
      <c r="D521">
        <v>-0.83099365234375</v>
      </c>
      <c r="E521">
        <v>-3.016845703125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290.33355712890625</v>
      </c>
      <c r="D522">
        <v>-0.712738037109375</v>
      </c>
      <c r="E522">
        <v>-2.7852020263671875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290.5810546875</v>
      </c>
      <c r="D523">
        <v>-0.67645263671875</v>
      </c>
      <c r="E523">
        <v>-2.558074951171875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290.69598388671875</v>
      </c>
      <c r="D524">
        <v>-0.586669921875</v>
      </c>
      <c r="E524">
        <v>-2.5464019775390625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293.006591796875</v>
      </c>
      <c r="D525">
        <v>-0.94561767578125</v>
      </c>
      <c r="E525">
        <v>-3.1277008056640625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294.82977294921875</v>
      </c>
      <c r="D526">
        <v>-1.640869140625</v>
      </c>
      <c r="E526">
        <v>-3.811065673828125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295.8004150390625</v>
      </c>
      <c r="D527">
        <v>-2.290863037109375</v>
      </c>
      <c r="E527">
        <v>-4.146453857421875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296.7830810546875</v>
      </c>
      <c r="D528">
        <v>-1.545135498046875</v>
      </c>
      <c r="E528">
        <v>-3.012847900390625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297.128173828125</v>
      </c>
      <c r="D529">
        <v>-1.645843505859375</v>
      </c>
      <c r="E529">
        <v>-2.878143310546875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297.073974609375</v>
      </c>
      <c r="D530">
        <v>-1.289031982421875</v>
      </c>
      <c r="E530">
        <v>-2.5877838134765625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296.6064453125</v>
      </c>
      <c r="D531">
        <v>-0.4375762939453125</v>
      </c>
      <c r="E531">
        <v>-2.557342529296875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295.8919677734375</v>
      </c>
      <c r="D532">
        <v>-0.2759857177734375</v>
      </c>
      <c r="E532">
        <v>-2.6857757568359375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295.3209228515625</v>
      </c>
      <c r="D533">
        <v>-0.4846649169921875</v>
      </c>
      <c r="E533">
        <v>-2.730072021484375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295.07061767578125</v>
      </c>
      <c r="D534">
        <v>-0.5711517333984375</v>
      </c>
      <c r="E534">
        <v>-2.802886962890625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295.03277587890625</v>
      </c>
      <c r="D535">
        <v>-0.739166259765625</v>
      </c>
      <c r="E535">
        <v>-2.81378173828125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294.9202880859375</v>
      </c>
      <c r="D536">
        <v>-0.8555908203125</v>
      </c>
      <c r="E536">
        <v>-2.826263427734375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294.73138427734375</v>
      </c>
      <c r="D537">
        <v>-0.897674560546875</v>
      </c>
      <c r="E537">
        <v>-2.8543548583984375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294.46734619140625</v>
      </c>
      <c r="D538">
        <v>-0.8543701171875</v>
      </c>
      <c r="E538">
        <v>-2.967864990234375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294.062255859375</v>
      </c>
      <c r="D539">
        <v>-0.72540283203125</v>
      </c>
      <c r="E539">
        <v>-3.0055084228515625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293.96441650390625</v>
      </c>
      <c r="D540">
        <v>-0.4519500732421875</v>
      </c>
      <c r="E540">
        <v>-2.9075775146484375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293.48602294921875</v>
      </c>
      <c r="D541">
        <v>-0.3933868408203125</v>
      </c>
      <c r="E541">
        <v>-2.9544525146484375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293.3260498046875</v>
      </c>
      <c r="D542">
        <v>-0.3271484375</v>
      </c>
      <c r="E542">
        <v>-2.9225311279296875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293.313232421875</v>
      </c>
      <c r="D543">
        <v>-0.3889617919921875</v>
      </c>
      <c r="E543">
        <v>-2.852874755859375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293.1549072265625</v>
      </c>
      <c r="D544">
        <v>-0.5116729736328125</v>
      </c>
      <c r="E544">
        <v>-2.8751983642578125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292.6826171875</v>
      </c>
      <c r="D545">
        <v>-0.6387786865234375</v>
      </c>
      <c r="E545">
        <v>-2.9932861328125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291.9464111328125</v>
      </c>
      <c r="D546">
        <v>-0.4444580078125</v>
      </c>
      <c r="E546">
        <v>-2.800994873046875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291.5128173828125</v>
      </c>
      <c r="D547">
        <v>-0.237091064453125</v>
      </c>
      <c r="E547">
        <v>-2.4023590087890625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292.13946533203125</v>
      </c>
      <c r="D548">
        <v>-0.8903961181640625</v>
      </c>
      <c r="E548">
        <v>-3.1780242919921875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293.55078125</v>
      </c>
      <c r="D549">
        <v>-2.298095703125</v>
      </c>
      <c r="E549">
        <v>-4.0155792236328125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294.396240234375</v>
      </c>
      <c r="D550">
        <v>-2.5637664794921875</v>
      </c>
      <c r="E550">
        <v>-3.7245941162109375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294.941650390625</v>
      </c>
      <c r="D551">
        <v>-2.4812774658203125</v>
      </c>
      <c r="E551">
        <v>-3.65667724609375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295.674072265625</v>
      </c>
      <c r="D552">
        <v>-1.7277679443359375</v>
      </c>
      <c r="E552">
        <v>-3.5646209716796875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295.863525390625</v>
      </c>
      <c r="D553">
        <v>-2.065277099609375</v>
      </c>
      <c r="E553">
        <v>-3.2971038818359375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295.641357421875</v>
      </c>
      <c r="D554">
        <v>-1.7941436767578125</v>
      </c>
      <c r="E554">
        <v>-2.9261932373046875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294.636962890625</v>
      </c>
      <c r="D555">
        <v>-1.253204345703125</v>
      </c>
      <c r="E555">
        <v>-3.13323974609375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293.3404541015625</v>
      </c>
      <c r="D556">
        <v>-0.6768798828125</v>
      </c>
      <c r="E556">
        <v>-3.0387115478515625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292.406005859375</v>
      </c>
      <c r="D557">
        <v>-0.48956298828125</v>
      </c>
      <c r="E557">
        <v>-2.8946685791015625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291.7978515625</v>
      </c>
      <c r="D558">
        <v>-0.3218536376953125</v>
      </c>
      <c r="E558">
        <v>-2.719482421875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291.3353271484375</v>
      </c>
      <c r="D559">
        <v>-0.3408050537109375</v>
      </c>
      <c r="E559">
        <v>-2.72357177734375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291.03076171875</v>
      </c>
      <c r="D560">
        <v>-0.445831298828125</v>
      </c>
      <c r="E560">
        <v>-2.6883544921875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290.690673828125</v>
      </c>
      <c r="D561">
        <v>-0.5526275634765625</v>
      </c>
      <c r="E561">
        <v>-2.7152557373046875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290.3251953125</v>
      </c>
      <c r="D562">
        <v>-0.5993804931640625</v>
      </c>
      <c r="E562">
        <v>-2.724395751953125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289.900390625</v>
      </c>
      <c r="D563">
        <v>-0.62408447265625</v>
      </c>
      <c r="E563">
        <v>-2.74285888671875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288.585693359375</v>
      </c>
      <c r="D564">
        <v>-0.50927734375</v>
      </c>
      <c r="E564">
        <v>-2.8168182373046875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288.43017578125</v>
      </c>
      <c r="D565">
        <v>-0.720001220703125</v>
      </c>
      <c r="E565">
        <v>-2.827423095703125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288.5364990234375</v>
      </c>
      <c r="D566">
        <v>-0.8752593994140625</v>
      </c>
      <c r="E566">
        <v>-2.8154144287109375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288.5947265625</v>
      </c>
      <c r="D567">
        <v>-0.8230743408203125</v>
      </c>
      <c r="E567">
        <v>-2.78515625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288.5545654296875</v>
      </c>
      <c r="D568">
        <v>-0.8289947509765625</v>
      </c>
      <c r="E568">
        <v>-2.7403106689453125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288.47802734375</v>
      </c>
      <c r="D569">
        <v>-0.805694580078125</v>
      </c>
      <c r="E569">
        <v>-2.6488037109375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288.4327392578125</v>
      </c>
      <c r="D570">
        <v>-0.741729736328125</v>
      </c>
      <c r="E570">
        <v>-2.289947509765625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288.429443359375</v>
      </c>
      <c r="D571">
        <v>-0.7025299072265625</v>
      </c>
      <c r="E571">
        <v>-1.9326629638671875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288.92138671875</v>
      </c>
      <c r="D572">
        <v>-0.741363525390625</v>
      </c>
      <c r="E572">
        <v>-1.582916259765625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291.4056396484375</v>
      </c>
      <c r="D573">
        <v>-0.8513031005859375</v>
      </c>
      <c r="E573">
        <v>-0.9756927490234375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293.016845703125</v>
      </c>
      <c r="D574">
        <v>-0.5379638671875</v>
      </c>
      <c r="E574">
        <v>-0.176513671875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294.07257080078125</v>
      </c>
      <c r="D575">
        <v>0.1221923828125</v>
      </c>
      <c r="E575">
        <v>0.36944580078125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293.9576416015625</v>
      </c>
      <c r="D576">
        <v>0.2362823486328125</v>
      </c>
      <c r="E576">
        <v>0.38165283203125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294.297607421875</v>
      </c>
      <c r="D577">
        <v>0.7486114501953125</v>
      </c>
      <c r="E577">
        <v>1.1263885498046875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293.885986328125</v>
      </c>
      <c r="D578">
        <v>1.30291748046875</v>
      </c>
      <c r="E578">
        <v>1.82952880859375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292.574462890625</v>
      </c>
      <c r="D579">
        <v>1.2214508056640625</v>
      </c>
      <c r="E579">
        <v>1.4266204833984375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291.492431640625</v>
      </c>
      <c r="D580">
        <v>1.00640869140625</v>
      </c>
      <c r="E580">
        <v>0.8158721923828125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291.0767822265625</v>
      </c>
      <c r="D581">
        <v>0.331787109375</v>
      </c>
      <c r="E581">
        <v>8.660888671875E-2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290.882568359375</v>
      </c>
      <c r="D582">
        <v>-0.5481414794921875</v>
      </c>
      <c r="E582">
        <v>-0.2225494384765625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290.4710693359375</v>
      </c>
      <c r="D583">
        <v>-0.700897216796875</v>
      </c>
      <c r="E583">
        <v>8.28704833984375E-2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289.68994140625</v>
      </c>
      <c r="D584">
        <v>-0.805694580078125</v>
      </c>
      <c r="E584">
        <v>0.4777679443359375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288.77978515625</v>
      </c>
      <c r="D585">
        <v>-1.0093841552734375</v>
      </c>
      <c r="E585">
        <v>0.6642913818359375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287.8651123046875</v>
      </c>
      <c r="D586">
        <v>-1.2497100830078125</v>
      </c>
      <c r="E586">
        <v>0.5197296142578125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287.06982421875</v>
      </c>
      <c r="D587">
        <v>-1.493438720703125</v>
      </c>
      <c r="E587">
        <v>0.32916259765625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286.7811279296875</v>
      </c>
      <c r="D588">
        <v>-1.49383544921875</v>
      </c>
      <c r="E588">
        <v>0.1914215087890625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286.3089599609375</v>
      </c>
      <c r="D589">
        <v>-1.4878387451171875</v>
      </c>
      <c r="E589">
        <v>-9.4696044921875E-2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286.10528564453125</v>
      </c>
      <c r="D590">
        <v>-1.318511962890625</v>
      </c>
      <c r="E590">
        <v>-0.36407470703125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285.897705078125</v>
      </c>
      <c r="D591">
        <v>-1.081390380859375</v>
      </c>
      <c r="E591">
        <v>-0.3133544921875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285.65240478515625</v>
      </c>
      <c r="D592">
        <v>-0.976409912109375</v>
      </c>
      <c r="E592">
        <v>-0.29412841796875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285.371337890625</v>
      </c>
      <c r="D593">
        <v>-1.155670166015625</v>
      </c>
      <c r="E593">
        <v>-0.2266998291015625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285.07757568359375</v>
      </c>
      <c r="D594">
        <v>-0.8246612548828125</v>
      </c>
      <c r="E594">
        <v>-4.60205078125E-2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284.85797119140625</v>
      </c>
      <c r="D595">
        <v>-0.7100067138671875</v>
      </c>
      <c r="E595">
        <v>0.73681640625</v>
      </c>
      <c r="F595">
        <v>4.76837158203125E-7</v>
      </c>
      <c r="G595">
        <f>Sayfa1!F595*1000</f>
        <v>4.76837158203125E-4</v>
      </c>
    </row>
    <row r="596" spans="2:7" x14ac:dyDescent="0.3">
      <c r="B596" s="1">
        <v>0.75</v>
      </c>
      <c r="C596">
        <v>285.57952880859375</v>
      </c>
      <c r="D596">
        <v>-1.586181640625</v>
      </c>
      <c r="E596">
        <v>2.8524169921875</v>
      </c>
      <c r="F596">
        <v>9.5367431640625E-7</v>
      </c>
      <c r="G596">
        <f>Sayfa1!F596*1000</f>
        <v>9.5367431640625E-4</v>
      </c>
    </row>
    <row r="597" spans="2:7" x14ac:dyDescent="0.3">
      <c r="B597" s="1">
        <v>0.79166666666666663</v>
      </c>
      <c r="C597">
        <v>286.24615478515625</v>
      </c>
      <c r="D597">
        <v>-1.4743804931640625</v>
      </c>
      <c r="E597">
        <v>3.693511962890625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286.78411865234375</v>
      </c>
      <c r="D598">
        <v>-1.254913330078125</v>
      </c>
      <c r="E598">
        <v>4.2841033935546875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287.0252685546875</v>
      </c>
      <c r="D599">
        <v>-1.07366943359375</v>
      </c>
      <c r="E599">
        <v>4.78509521484375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286.65057373046875</v>
      </c>
      <c r="D600">
        <v>-0.9547576904296875</v>
      </c>
      <c r="E600">
        <v>4.83209228515625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286.2818603515625</v>
      </c>
      <c r="D601">
        <v>0.1746978759765625</v>
      </c>
      <c r="E601">
        <v>4.736297607421875</v>
      </c>
      <c r="F601">
        <v>0</v>
      </c>
      <c r="G601">
        <f>Sayfa1!F601*1000</f>
        <v>0</v>
      </c>
    </row>
    <row r="602" spans="2:7" x14ac:dyDescent="0.3">
      <c r="B602" s="1">
        <v>0</v>
      </c>
      <c r="C602">
        <v>285.61404418945313</v>
      </c>
      <c r="D602">
        <v>0.470855712890625</v>
      </c>
      <c r="E602">
        <v>4.5271453857421875</v>
      </c>
      <c r="F602">
        <v>6.198883056640625E-6</v>
      </c>
      <c r="G602">
        <f>Sayfa1!F602*1000</f>
        <v>6.198883056640625E-3</v>
      </c>
    </row>
    <row r="603" spans="2:7" x14ac:dyDescent="0.3">
      <c r="B603" s="1">
        <v>4.1666666666666664E-2</v>
      </c>
      <c r="C603">
        <v>284.845703125</v>
      </c>
      <c r="D603">
        <v>0.2209014892578125</v>
      </c>
      <c r="E603">
        <v>3.70391845703125</v>
      </c>
      <c r="F603">
        <v>4.1484832763671875E-5</v>
      </c>
      <c r="G603">
        <f>Sayfa1!F603*1000</f>
        <v>4.1484832763671875E-2</v>
      </c>
    </row>
    <row r="604" spans="2:7" x14ac:dyDescent="0.3">
      <c r="B604" s="1">
        <v>8.3333333333333329E-2</v>
      </c>
      <c r="C604">
        <v>284.273193359375</v>
      </c>
      <c r="D604">
        <v>-0.3057708740234375</v>
      </c>
      <c r="E604">
        <v>2.657928466796875</v>
      </c>
      <c r="F604">
        <v>4.291534423828125E-5</v>
      </c>
      <c r="G604">
        <f>Sayfa1!F604*1000</f>
        <v>4.291534423828125E-2</v>
      </c>
    </row>
    <row r="605" spans="2:7" x14ac:dyDescent="0.3">
      <c r="B605" s="1">
        <v>0.125</v>
      </c>
      <c r="C605">
        <v>283.705078125</v>
      </c>
      <c r="D605">
        <v>-0.5761871337890625</v>
      </c>
      <c r="E605">
        <v>2.0867767333984375</v>
      </c>
      <c r="F605">
        <v>1.7499923706054688E-4</v>
      </c>
      <c r="G605">
        <f>Sayfa1!F605*1000</f>
        <v>0.17499923706054688</v>
      </c>
    </row>
    <row r="606" spans="2:7" x14ac:dyDescent="0.3">
      <c r="B606" s="1">
        <v>0.16666666666666666</v>
      </c>
      <c r="C606">
        <v>283.43841552734375</v>
      </c>
      <c r="D606">
        <v>-0.5093994140625</v>
      </c>
      <c r="E606">
        <v>2.248321533203125</v>
      </c>
      <c r="F606">
        <v>3.6716461181640625E-4</v>
      </c>
      <c r="G606">
        <f>Sayfa1!F606*1000</f>
        <v>0.36716461181640625</v>
      </c>
    </row>
    <row r="607" spans="2:7" x14ac:dyDescent="0.3">
      <c r="B607" s="1">
        <v>0.20833333333333334</v>
      </c>
      <c r="C607">
        <v>283.24441528320313</v>
      </c>
      <c r="D607">
        <v>-0.3466796875</v>
      </c>
      <c r="E607">
        <v>1.8167877197265625</v>
      </c>
      <c r="F607">
        <v>3.5047531127929688E-4</v>
      </c>
      <c r="G607">
        <f>Sayfa1!F607*1000</f>
        <v>0.35047531127929688</v>
      </c>
    </row>
    <row r="608" spans="2:7" x14ac:dyDescent="0.3">
      <c r="B608" s="1">
        <v>0.25</v>
      </c>
      <c r="C608">
        <v>283.133544921875</v>
      </c>
      <c r="D608">
        <v>-0.33087158203125</v>
      </c>
      <c r="E608">
        <v>1.366119384765625</v>
      </c>
      <c r="F608">
        <v>3.3855438232421875E-4</v>
      </c>
      <c r="G608">
        <f>Sayfa1!F608*1000</f>
        <v>0.33855438232421875</v>
      </c>
    </row>
    <row r="609" spans="2:7" x14ac:dyDescent="0.3">
      <c r="B609" s="1">
        <v>0.29166666666666669</v>
      </c>
      <c r="C609">
        <v>282.8369140625</v>
      </c>
      <c r="D609">
        <v>3.72314453125E-2</v>
      </c>
      <c r="E609">
        <v>1.2196044921875</v>
      </c>
      <c r="F609">
        <v>4.7826766967773438E-4</v>
      </c>
      <c r="G609">
        <f>Sayfa1!F609*1000</f>
        <v>0.47826766967773438</v>
      </c>
    </row>
    <row r="610" spans="2:7" x14ac:dyDescent="0.3">
      <c r="B610" s="1">
        <v>0.33333333333333331</v>
      </c>
      <c r="C610">
        <v>282.6724853515625</v>
      </c>
      <c r="D610">
        <v>5.39703369140625E-2</v>
      </c>
      <c r="E610">
        <v>1.119232177734375</v>
      </c>
      <c r="F610">
        <v>4.4536590576171875E-4</v>
      </c>
      <c r="G610">
        <f>Sayfa1!F610*1000</f>
        <v>0.44536590576171875</v>
      </c>
    </row>
    <row r="611" spans="2:7" x14ac:dyDescent="0.3">
      <c r="B611" s="1">
        <v>0.375</v>
      </c>
      <c r="C611">
        <v>282.5850830078125</v>
      </c>
      <c r="D611">
        <v>-0.151214599609375</v>
      </c>
      <c r="E611">
        <v>0.6966400146484375</v>
      </c>
      <c r="F611">
        <v>4.3058395385742188E-4</v>
      </c>
      <c r="G611">
        <f>Sayfa1!F611*1000</f>
        <v>0.43058395385742188</v>
      </c>
    </row>
    <row r="612" spans="2:7" x14ac:dyDescent="0.3">
      <c r="B612" s="1">
        <v>0.41666666666666669</v>
      </c>
      <c r="C612">
        <v>283.0528564453125</v>
      </c>
      <c r="D612">
        <v>-1.1043243408203125</v>
      </c>
      <c r="E612">
        <v>0.3002777099609375</v>
      </c>
      <c r="F612">
        <v>4.0578842163085938E-4</v>
      </c>
      <c r="G612">
        <f>Sayfa1!F612*1000</f>
        <v>0.40578842163085938</v>
      </c>
    </row>
    <row r="613" spans="2:7" x14ac:dyDescent="0.3">
      <c r="B613" s="1">
        <v>0.45833333333333331</v>
      </c>
      <c r="C613">
        <v>282.92315673828125</v>
      </c>
      <c r="D613">
        <v>-1.461212158203125</v>
      </c>
      <c r="E613">
        <v>-4.46319580078125E-2</v>
      </c>
      <c r="F613">
        <v>1.010894775390625E-4</v>
      </c>
      <c r="G613">
        <f>Sayfa1!F613*1000</f>
        <v>0.1010894775390625</v>
      </c>
    </row>
    <row r="614" spans="2:7" x14ac:dyDescent="0.3">
      <c r="B614" s="1">
        <v>0.5</v>
      </c>
      <c r="C614">
        <v>282.63909912109375</v>
      </c>
      <c r="D614">
        <v>-1.8985595703125</v>
      </c>
      <c r="E614">
        <v>-4.67376708984375E-2</v>
      </c>
      <c r="F614">
        <v>4.0483474731445313E-4</v>
      </c>
      <c r="G614">
        <f>Sayfa1!F614*1000</f>
        <v>0.40483474731445313</v>
      </c>
    </row>
    <row r="615" spans="2:7" x14ac:dyDescent="0.3">
      <c r="B615" s="1">
        <v>0.54166666666666663</v>
      </c>
      <c r="C615">
        <v>282.41796875</v>
      </c>
      <c r="D615">
        <v>-1.86053466796875</v>
      </c>
      <c r="E615">
        <v>-2.44598388671875E-2</v>
      </c>
      <c r="F615">
        <v>1.48773193359375E-4</v>
      </c>
      <c r="G615">
        <f>Sayfa1!F615*1000</f>
        <v>0.148773193359375</v>
      </c>
    </row>
    <row r="616" spans="2:7" x14ac:dyDescent="0.3">
      <c r="B616" s="1">
        <v>0.58333333333333337</v>
      </c>
      <c r="C616">
        <v>282.25274658203125</v>
      </c>
      <c r="D616">
        <v>-1.688018798828125</v>
      </c>
      <c r="E616">
        <v>-4.9957275390625E-2</v>
      </c>
      <c r="F616">
        <v>1.2302398681640625E-4</v>
      </c>
      <c r="G616">
        <f>Sayfa1!F616*1000</f>
        <v>0.12302398681640625</v>
      </c>
    </row>
    <row r="617" spans="2:7" x14ac:dyDescent="0.3">
      <c r="B617" s="1">
        <v>0.625</v>
      </c>
      <c r="C617">
        <v>281.81561279296875</v>
      </c>
      <c r="D617">
        <v>-1.767364501953125</v>
      </c>
      <c r="E617">
        <v>-9.63287353515625E-2</v>
      </c>
      <c r="F617">
        <v>2.9468536376953125E-4</v>
      </c>
      <c r="G617">
        <f>Sayfa1!F617*1000</f>
        <v>0.29468536376953125</v>
      </c>
    </row>
    <row r="618" spans="2:7" x14ac:dyDescent="0.3">
      <c r="B618" s="1">
        <v>0.66666666666666663</v>
      </c>
      <c r="C618">
        <v>281.667724609375</v>
      </c>
      <c r="D618">
        <v>-1.7091522216796875</v>
      </c>
      <c r="E618">
        <v>0.5061187744140625</v>
      </c>
      <c r="F618">
        <v>6.8044662475585938E-4</v>
      </c>
      <c r="G618">
        <f>Sayfa1!F618*1000</f>
        <v>0.68044662475585938</v>
      </c>
    </row>
    <row r="619" spans="2:7" x14ac:dyDescent="0.3">
      <c r="B619" s="1">
        <v>0.70833333333333337</v>
      </c>
      <c r="C619">
        <v>281.95709228515625</v>
      </c>
      <c r="D619">
        <v>-1.94195556640625</v>
      </c>
      <c r="E619">
        <v>1.13128662109375</v>
      </c>
      <c r="F619">
        <v>4.3535232543945313E-4</v>
      </c>
      <c r="G619">
        <f>Sayfa1!F619*1000</f>
        <v>0.43535232543945313</v>
      </c>
    </row>
    <row r="620" spans="2:7" x14ac:dyDescent="0.3">
      <c r="B620" s="1">
        <v>0.75</v>
      </c>
      <c r="C620">
        <v>282.41128540039063</v>
      </c>
      <c r="D620">
        <v>-1.9342803955078125</v>
      </c>
      <c r="E620">
        <v>1.618743896484375</v>
      </c>
      <c r="F620">
        <v>8.6116790771484375E-4</v>
      </c>
      <c r="G620">
        <f>Sayfa1!F620*1000</f>
        <v>0.86116790771484375</v>
      </c>
    </row>
    <row r="621" spans="2:7" x14ac:dyDescent="0.3">
      <c r="B621" s="1">
        <v>0.79166666666666663</v>
      </c>
      <c r="C621">
        <v>283.1483154296875</v>
      </c>
      <c r="D621">
        <v>-1.749237060546875</v>
      </c>
      <c r="E621">
        <v>1.6992645263671875</v>
      </c>
      <c r="F621">
        <v>1.7304420471191406E-3</v>
      </c>
      <c r="G621">
        <f>Sayfa1!F621*1000</f>
        <v>1.7304420471191406</v>
      </c>
    </row>
    <row r="622" spans="2:7" x14ac:dyDescent="0.3">
      <c r="B622" s="1">
        <v>0.83333333333333337</v>
      </c>
      <c r="C622">
        <v>283.79995727539063</v>
      </c>
      <c r="D622">
        <v>-1.8260498046875</v>
      </c>
      <c r="E622">
        <v>2.40972900390625</v>
      </c>
      <c r="F622">
        <v>7.36236572265625E-4</v>
      </c>
      <c r="G622">
        <f>Sayfa1!F622*1000</f>
        <v>0.736236572265625</v>
      </c>
    </row>
    <row r="623" spans="2:7" x14ac:dyDescent="0.3">
      <c r="B623" s="1">
        <v>0.875</v>
      </c>
      <c r="C623">
        <v>283.396240234375</v>
      </c>
      <c r="D623">
        <v>-1.3843536376953125</v>
      </c>
      <c r="E623">
        <v>2.488922119140625</v>
      </c>
      <c r="F623">
        <v>1.10626220703125E-3</v>
      </c>
      <c r="G623">
        <f>Sayfa1!F623*1000</f>
        <v>1.10626220703125</v>
      </c>
    </row>
    <row r="624" spans="2:7" x14ac:dyDescent="0.3">
      <c r="B624" s="1">
        <v>0.91666666666666663</v>
      </c>
      <c r="C624">
        <v>283.00051879882813</v>
      </c>
      <c r="D624">
        <v>-1.252044677734375</v>
      </c>
      <c r="E624">
        <v>1.2916717529296875</v>
      </c>
      <c r="F624">
        <v>1.9402503967285156E-3</v>
      </c>
      <c r="G624">
        <f>Sayfa1!F624*1000</f>
        <v>1.9402503967285156</v>
      </c>
    </row>
    <row r="625" spans="2:7" x14ac:dyDescent="0.3">
      <c r="B625" s="1">
        <v>0.95833333333333337</v>
      </c>
      <c r="C625">
        <v>282.59805297851563</v>
      </c>
      <c r="D625">
        <v>-1.3725433349609375</v>
      </c>
      <c r="E625">
        <v>2.04644775390625</v>
      </c>
      <c r="F625">
        <v>1.5349388122558594E-3</v>
      </c>
      <c r="G625">
        <f>Sayfa1!F625*1000</f>
        <v>1.5349388122558594</v>
      </c>
    </row>
    <row r="626" spans="2:7" x14ac:dyDescent="0.3">
      <c r="B626" s="1">
        <v>0</v>
      </c>
      <c r="C626">
        <v>282.45916748046875</v>
      </c>
      <c r="D626">
        <v>-1.74896240234375</v>
      </c>
      <c r="E626">
        <v>0.7565460205078125</v>
      </c>
      <c r="F626">
        <v>1.0628700256347656E-3</v>
      </c>
      <c r="G626">
        <f>Sayfa1!F626*1000</f>
        <v>1.0628700256347656</v>
      </c>
    </row>
    <row r="627" spans="2:7" x14ac:dyDescent="0.3">
      <c r="B627" s="1">
        <v>4.1666666666666664E-2</v>
      </c>
      <c r="C627">
        <v>282.7801513671875</v>
      </c>
      <c r="D627">
        <v>-1.6717987060546875</v>
      </c>
      <c r="E627">
        <v>0.3774261474609375</v>
      </c>
      <c r="F627">
        <v>3.204345703125E-4</v>
      </c>
      <c r="G627">
        <f>Sayfa1!F627*1000</f>
        <v>0.3204345703125</v>
      </c>
    </row>
    <row r="628" spans="2:7" x14ac:dyDescent="0.3">
      <c r="B628" s="1">
        <v>8.3333333333333329E-2</v>
      </c>
      <c r="C628">
        <v>282.67706298828125</v>
      </c>
      <c r="D628">
        <v>-1.365875244140625</v>
      </c>
      <c r="E628">
        <v>-7.74383544921875E-2</v>
      </c>
      <c r="F628">
        <v>2.1839141845703125E-4</v>
      </c>
      <c r="G628">
        <f>Sayfa1!F628*1000</f>
        <v>0.21839141845703125</v>
      </c>
    </row>
    <row r="629" spans="2:7" x14ac:dyDescent="0.3">
      <c r="B629" s="1">
        <v>0.125</v>
      </c>
      <c r="C629">
        <v>282.4002685546875</v>
      </c>
      <c r="D629">
        <v>-1.6658935546875</v>
      </c>
      <c r="E629">
        <v>-0.522308349609375</v>
      </c>
      <c r="F629">
        <v>4.3630599975585938E-4</v>
      </c>
      <c r="G629">
        <f>Sayfa1!F629*1000</f>
        <v>0.43630599975585938</v>
      </c>
    </row>
    <row r="630" spans="2:7" x14ac:dyDescent="0.3">
      <c r="B630" s="1">
        <v>0.16666666666666666</v>
      </c>
      <c r="C630">
        <v>282.06005859375</v>
      </c>
      <c r="D630">
        <v>-1.78955078125</v>
      </c>
      <c r="E630">
        <v>-0.6605682373046875</v>
      </c>
      <c r="F630">
        <v>1.9931793212890625E-4</v>
      </c>
      <c r="G630">
        <f>Sayfa1!F630*1000</f>
        <v>0.19931793212890625</v>
      </c>
    </row>
    <row r="631" spans="2:7" x14ac:dyDescent="0.3">
      <c r="B631" s="1">
        <v>0.20833333333333334</v>
      </c>
      <c r="C631">
        <v>281.4405517578125</v>
      </c>
      <c r="D631">
        <v>-1.7341461181640625</v>
      </c>
      <c r="E631">
        <v>-1.022186279296875</v>
      </c>
      <c r="F631">
        <v>2.1791458129882813E-4</v>
      </c>
      <c r="G631">
        <f>Sayfa1!F631*1000</f>
        <v>0.21791458129882813</v>
      </c>
    </row>
    <row r="632" spans="2:7" x14ac:dyDescent="0.3">
      <c r="B632" s="1">
        <v>0.25</v>
      </c>
      <c r="C632">
        <v>280.46881103515625</v>
      </c>
      <c r="D632">
        <v>-1.4697723388671875</v>
      </c>
      <c r="E632">
        <v>-1.3553466796875</v>
      </c>
      <c r="F632">
        <v>1.0919570922851563E-4</v>
      </c>
      <c r="G632">
        <f>Sayfa1!F632*1000</f>
        <v>0.10919570922851563</v>
      </c>
    </row>
    <row r="633" spans="2:7" x14ac:dyDescent="0.3">
      <c r="B633" s="1">
        <v>0.29166666666666669</v>
      </c>
      <c r="C633">
        <v>279.79754638671875</v>
      </c>
      <c r="D633">
        <v>-1.0251922607421875</v>
      </c>
      <c r="E633">
        <v>-1.7238616943359375</v>
      </c>
      <c r="F633">
        <v>1.2440681457519531E-3</v>
      </c>
      <c r="G633">
        <f>Sayfa1!F633*1000</f>
        <v>1.2440681457519531</v>
      </c>
    </row>
    <row r="634" spans="2:7" x14ac:dyDescent="0.3">
      <c r="B634" s="1">
        <v>0.33333333333333331</v>
      </c>
      <c r="C634">
        <v>279.625732421875</v>
      </c>
      <c r="D634">
        <v>-0.5649871826171875</v>
      </c>
      <c r="E634">
        <v>-1.8760528564453125</v>
      </c>
      <c r="F634">
        <v>5.6695938110351563E-4</v>
      </c>
      <c r="G634">
        <f>Sayfa1!F634*1000</f>
        <v>0.56695938110351563</v>
      </c>
    </row>
    <row r="635" spans="2:7" x14ac:dyDescent="0.3">
      <c r="B635" s="1">
        <v>0.375</v>
      </c>
      <c r="C635">
        <v>279.95037841796875</v>
      </c>
      <c r="D635">
        <v>-0.4430084228515625</v>
      </c>
      <c r="E635">
        <v>-1.8365631103515625</v>
      </c>
      <c r="F635">
        <v>2.0503997802734375E-4</v>
      </c>
      <c r="G635">
        <f>Sayfa1!F635*1000</f>
        <v>0.20503997802734375</v>
      </c>
    </row>
    <row r="636" spans="2:7" x14ac:dyDescent="0.3">
      <c r="B636" s="1">
        <v>0.41666666666666669</v>
      </c>
      <c r="C636">
        <v>281.31887817382813</v>
      </c>
      <c r="D636">
        <v>-0.6656341552734375</v>
      </c>
      <c r="E636">
        <v>-1.839447021484375</v>
      </c>
      <c r="F636">
        <v>1.0395050048828125E-4</v>
      </c>
      <c r="G636">
        <f>Sayfa1!F636*1000</f>
        <v>0.10395050048828125</v>
      </c>
    </row>
    <row r="637" spans="2:7" x14ac:dyDescent="0.3">
      <c r="B637" s="1">
        <v>0.45833333333333331</v>
      </c>
      <c r="C637">
        <v>281.46603393554688</v>
      </c>
      <c r="D637">
        <v>-0.721832275390625</v>
      </c>
      <c r="E637">
        <v>-1.8283843994140625</v>
      </c>
      <c r="F637">
        <v>7.43865966796875E-5</v>
      </c>
      <c r="G637">
        <f>Sayfa1!F637*1000</f>
        <v>7.43865966796875E-2</v>
      </c>
    </row>
    <row r="638" spans="2:7" x14ac:dyDescent="0.3">
      <c r="B638" s="1">
        <v>0.5</v>
      </c>
      <c r="C638">
        <v>281.61196899414063</v>
      </c>
      <c r="D638">
        <v>-0.494659423828125</v>
      </c>
      <c r="E638">
        <v>-1.9554901123046875</v>
      </c>
      <c r="F638">
        <v>7.2002410888671875E-5</v>
      </c>
      <c r="G638">
        <f>Sayfa1!F638*1000</f>
        <v>7.2002410888671875E-2</v>
      </c>
    </row>
    <row r="639" spans="2:7" x14ac:dyDescent="0.3">
      <c r="B639" s="1">
        <v>0.54166666666666663</v>
      </c>
      <c r="C639">
        <v>281.714111328125</v>
      </c>
      <c r="D639">
        <v>-0.4233245849609375</v>
      </c>
      <c r="E639">
        <v>-1.9568023681640625</v>
      </c>
      <c r="F639">
        <v>8.5353851318359375E-5</v>
      </c>
      <c r="G639">
        <f>Sayfa1!F639*1000</f>
        <v>8.5353851318359375E-2</v>
      </c>
    </row>
    <row r="640" spans="2:7" x14ac:dyDescent="0.3">
      <c r="B640" s="1">
        <v>0.58333333333333337</v>
      </c>
      <c r="C640">
        <v>281.73309326171875</v>
      </c>
      <c r="D640">
        <v>-0.37005615234375</v>
      </c>
      <c r="E640">
        <v>-2.01556396484375</v>
      </c>
      <c r="F640">
        <v>1.9550323486328125E-4</v>
      </c>
      <c r="G640">
        <f>Sayfa1!F640*1000</f>
        <v>0.19550323486328125</v>
      </c>
    </row>
    <row r="641" spans="2:7" x14ac:dyDescent="0.3">
      <c r="B641" s="1">
        <v>0.625</v>
      </c>
      <c r="C641">
        <v>281.69070434570313</v>
      </c>
      <c r="D641">
        <v>-0.51043701171875</v>
      </c>
      <c r="E641">
        <v>-1.957183837890625</v>
      </c>
      <c r="F641">
        <v>9.632110595703125E-5</v>
      </c>
      <c r="G641">
        <f>Sayfa1!F641*1000</f>
        <v>9.632110595703125E-2</v>
      </c>
    </row>
    <row r="642" spans="2:7" x14ac:dyDescent="0.3">
      <c r="B642" s="1">
        <v>0.66666666666666663</v>
      </c>
      <c r="C642">
        <v>281.674560546875</v>
      </c>
      <c r="D642">
        <v>-0.477813720703125</v>
      </c>
      <c r="E642">
        <v>-1.6287689208984375</v>
      </c>
      <c r="F642">
        <v>9.250640869140625E-5</v>
      </c>
      <c r="G642">
        <f>Sayfa1!F642*1000</f>
        <v>9.250640869140625E-2</v>
      </c>
    </row>
    <row r="643" spans="2:7" x14ac:dyDescent="0.3">
      <c r="B643" s="1">
        <v>0.70833333333333337</v>
      </c>
      <c r="C643">
        <v>281.6845703125</v>
      </c>
      <c r="D643">
        <v>-0.390533447265625</v>
      </c>
      <c r="E643">
        <v>-1.3886260986328125</v>
      </c>
      <c r="F643">
        <v>9.5367431640625E-7</v>
      </c>
      <c r="G643">
        <f>Sayfa1!F643*1000</f>
        <v>9.5367431640625E-4</v>
      </c>
    </row>
    <row r="644" spans="2:7" x14ac:dyDescent="0.3">
      <c r="B644" s="1">
        <v>0.75</v>
      </c>
      <c r="C644">
        <v>282.62557983398438</v>
      </c>
      <c r="D644">
        <v>-0.5273590087890625</v>
      </c>
      <c r="E644">
        <v>-1.1935272216796875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283.78756713867188</v>
      </c>
      <c r="D645">
        <v>-0.8830108642578125</v>
      </c>
      <c r="E645">
        <v>-1.448822021484375</v>
      </c>
      <c r="F645">
        <v>4.76837158203125E-7</v>
      </c>
      <c r="G645">
        <f>Sayfa1!F645*1000</f>
        <v>4.76837158203125E-4</v>
      </c>
    </row>
    <row r="646" spans="2:7" x14ac:dyDescent="0.3">
      <c r="B646" s="1">
        <v>0.83333333333333337</v>
      </c>
      <c r="C646">
        <v>285.075927734375</v>
      </c>
      <c r="D646">
        <v>-1.3017578125</v>
      </c>
      <c r="E646">
        <v>-1.756072998046875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285.78436279296875</v>
      </c>
      <c r="D647">
        <v>-0.938720703125</v>
      </c>
      <c r="E647">
        <v>-1.522064208984375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286.29571533203125</v>
      </c>
      <c r="D648">
        <v>-9.051513671875E-2</v>
      </c>
      <c r="E648">
        <v>-1.1518096923828125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286.74261474609375</v>
      </c>
      <c r="D649">
        <v>0.3629302978515625</v>
      </c>
      <c r="E649">
        <v>-1.0070953369140625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286.83651733398438</v>
      </c>
      <c r="D650">
        <v>0.4967193603515625</v>
      </c>
      <c r="E650">
        <v>-0.39178466796875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286.307861328125</v>
      </c>
      <c r="D651">
        <v>0.6487884521484375</v>
      </c>
      <c r="E651">
        <v>0.35064697265625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285.6951904296875</v>
      </c>
      <c r="D652">
        <v>0.57879638671875</v>
      </c>
      <c r="E652">
        <v>0.3682861328125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285.28094482421875</v>
      </c>
      <c r="D653">
        <v>0.3961944580078125</v>
      </c>
      <c r="E653">
        <v>-9.228515625E-2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284.98574829101563</v>
      </c>
      <c r="D654">
        <v>0.12701416015625</v>
      </c>
      <c r="E654">
        <v>-0.8478851318359375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284.84719848632813</v>
      </c>
      <c r="D655">
        <v>-0.4175872802734375</v>
      </c>
      <c r="E655">
        <v>-1.443572998046875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284.74960327148438</v>
      </c>
      <c r="D656">
        <v>-0.7540130615234375</v>
      </c>
      <c r="E656">
        <v>-1.71734619140625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284.48849487304688</v>
      </c>
      <c r="D657">
        <v>-0.7793731689453125</v>
      </c>
      <c r="E657">
        <v>-1.7791748046875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284.3814697265625</v>
      </c>
      <c r="D658">
        <v>-0.833831787109375</v>
      </c>
      <c r="E658">
        <v>-1.8204803466796875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284.3099365234375</v>
      </c>
      <c r="D659">
        <v>-0.9011077880859375</v>
      </c>
      <c r="E659">
        <v>-1.8706512451171875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283.658935546875</v>
      </c>
      <c r="D660">
        <v>-1.06170654296875</v>
      </c>
      <c r="E660">
        <v>-1.9923248291015625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283.66790771484375</v>
      </c>
      <c r="D661">
        <v>-0.8122406005859375</v>
      </c>
      <c r="E661">
        <v>-1.99664306640625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283.6256103515625</v>
      </c>
      <c r="D662">
        <v>-0.7194366455078125</v>
      </c>
      <c r="E662">
        <v>-1.9661865234375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283.65887451171875</v>
      </c>
      <c r="D663">
        <v>-1.026580810546875</v>
      </c>
      <c r="E663">
        <v>-1.962921142578125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283.70550537109375</v>
      </c>
      <c r="D664">
        <v>-0.9730072021484375</v>
      </c>
      <c r="E664">
        <v>-1.9517974853515625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283.52728271484375</v>
      </c>
      <c r="D665">
        <v>-0.752593994140625</v>
      </c>
      <c r="E665">
        <v>-1.9462890625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283.22381591796875</v>
      </c>
      <c r="D666">
        <v>-0.4974212646484375</v>
      </c>
      <c r="E666">
        <v>-1.675933837890625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283.031494140625</v>
      </c>
      <c r="D667">
        <v>-0.3206024169921875</v>
      </c>
      <c r="E667">
        <v>-1.240509033203125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284.26611328125</v>
      </c>
      <c r="D668">
        <v>-0.129852294921875</v>
      </c>
      <c r="E668">
        <v>-0.4236602783203125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285.8250732421875</v>
      </c>
      <c r="D669">
        <v>0.6344451904296875</v>
      </c>
      <c r="E669">
        <v>0.58935546875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286.704833984375</v>
      </c>
      <c r="D670">
        <v>1.2675628662109375</v>
      </c>
      <c r="E670">
        <v>1.4206695556640625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287.04547119140625</v>
      </c>
      <c r="D671">
        <v>1.8597869873046875</v>
      </c>
      <c r="E671">
        <v>1.93017578125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287.1048583984375</v>
      </c>
      <c r="D672">
        <v>1.4275970458984375</v>
      </c>
      <c r="E672">
        <v>2.515228271484375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286.72406005859375</v>
      </c>
      <c r="D673">
        <v>1.526763916015625</v>
      </c>
      <c r="E673">
        <v>2.66326904296875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286.2392578125</v>
      </c>
      <c r="D674">
        <v>1.062103271484375</v>
      </c>
      <c r="E674">
        <v>2.58917236328125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285.53729248046875</v>
      </c>
      <c r="D675">
        <v>0.4118194580078125</v>
      </c>
      <c r="E675">
        <v>1.4771575927734375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284.93707275390625</v>
      </c>
      <c r="D676">
        <v>0.246490478515625</v>
      </c>
      <c r="E676">
        <v>1.1034088134765625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284.4383544921875</v>
      </c>
      <c r="D677">
        <v>-0.231201171875</v>
      </c>
      <c r="E677">
        <v>0.7613067626953125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284.065673828125</v>
      </c>
      <c r="D678">
        <v>-0.7393341064453125</v>
      </c>
      <c r="E678">
        <v>0.5123138427734375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283.9154052734375</v>
      </c>
      <c r="D679">
        <v>-1.084503173828125</v>
      </c>
      <c r="E679">
        <v>0.1056976318359375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283.7879638671875</v>
      </c>
      <c r="D680">
        <v>-1.2534942626953125</v>
      </c>
      <c r="E680">
        <v>-0.340911865234375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283.67254638671875</v>
      </c>
      <c r="D681">
        <v>-1.31707763671875</v>
      </c>
      <c r="E681">
        <v>-0.7780303955078125</v>
      </c>
      <c r="F681">
        <v>4.291534423828125E-6</v>
      </c>
      <c r="G681">
        <f>Sayfa1!F681*1000</f>
        <v>4.291534423828125E-3</v>
      </c>
    </row>
    <row r="682" spans="2:7" x14ac:dyDescent="0.3">
      <c r="B682" s="1">
        <v>0.33333333333333331</v>
      </c>
      <c r="C682">
        <v>283.58816528320313</v>
      </c>
      <c r="D682">
        <v>-1.3599700927734375</v>
      </c>
      <c r="E682">
        <v>-1.12060546875</v>
      </c>
      <c r="F682">
        <v>1.0967254638671875E-5</v>
      </c>
      <c r="G682">
        <f>Sayfa1!F682*1000</f>
        <v>1.0967254638671875E-2</v>
      </c>
    </row>
    <row r="683" spans="2:7" x14ac:dyDescent="0.3">
      <c r="B683" s="1">
        <v>0.375</v>
      </c>
      <c r="C683">
        <v>283.54165649414063</v>
      </c>
      <c r="D683">
        <v>-1.277099609375</v>
      </c>
      <c r="E683">
        <v>-1.3934783935546875</v>
      </c>
      <c r="F683">
        <v>7.152557373046875E-6</v>
      </c>
      <c r="G683">
        <f>Sayfa1!F683*1000</f>
        <v>7.152557373046875E-3</v>
      </c>
    </row>
    <row r="684" spans="2:7" x14ac:dyDescent="0.3">
      <c r="B684" s="1">
        <v>0.41666666666666669</v>
      </c>
      <c r="C684">
        <v>282.75674438476563</v>
      </c>
      <c r="D684">
        <v>-1.042724609375</v>
      </c>
      <c r="E684">
        <v>-1.5976104736328125</v>
      </c>
      <c r="F684">
        <v>1.430511474609375E-6</v>
      </c>
      <c r="G684">
        <f>Sayfa1!F684*1000</f>
        <v>1.430511474609375E-3</v>
      </c>
    </row>
    <row r="685" spans="2:7" x14ac:dyDescent="0.3">
      <c r="B685" s="1">
        <v>0.45833333333333331</v>
      </c>
      <c r="C685">
        <v>282.91018676757813</v>
      </c>
      <c r="D685">
        <v>-0.7458343505859375</v>
      </c>
      <c r="E685">
        <v>-1.5701446533203125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282.9598388671875</v>
      </c>
      <c r="D686">
        <v>-0.78759765625</v>
      </c>
      <c r="E686">
        <v>-1.3805389404296875</v>
      </c>
      <c r="F686">
        <v>4.76837158203125E-7</v>
      </c>
      <c r="G686">
        <f>Sayfa1!F686*1000</f>
        <v>4.76837158203125E-4</v>
      </c>
    </row>
    <row r="687" spans="2:7" x14ac:dyDescent="0.3">
      <c r="B687" s="1">
        <v>0.54166666666666663</v>
      </c>
      <c r="C687">
        <v>282.88650512695313</v>
      </c>
      <c r="D687">
        <v>-0.9053192138671875</v>
      </c>
      <c r="E687">
        <v>-1.6552886962890625</v>
      </c>
      <c r="F687">
        <v>2.86102294921875E-6</v>
      </c>
      <c r="G687">
        <f>Sayfa1!F687*1000</f>
        <v>2.86102294921875E-3</v>
      </c>
    </row>
    <row r="688" spans="2:7" x14ac:dyDescent="0.3">
      <c r="B688" s="1">
        <v>0.58333333333333337</v>
      </c>
      <c r="C688">
        <v>282.93234252929688</v>
      </c>
      <c r="D688">
        <v>-0.8401947021484375</v>
      </c>
      <c r="E688">
        <v>-1.72552490234375</v>
      </c>
      <c r="F688">
        <v>1.430511474609375E-6</v>
      </c>
      <c r="G688">
        <f>Sayfa1!F688*1000</f>
        <v>1.430511474609375E-3</v>
      </c>
    </row>
    <row r="689" spans="2:7" x14ac:dyDescent="0.3">
      <c r="B689" s="1">
        <v>0.625</v>
      </c>
      <c r="C689">
        <v>283.04205322265625</v>
      </c>
      <c r="D689">
        <v>-0.7270965576171875</v>
      </c>
      <c r="E689">
        <v>-1.72515869140625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283.0316162109375</v>
      </c>
      <c r="D690">
        <v>-0.50146484375</v>
      </c>
      <c r="E690">
        <v>-1.3027496337890625</v>
      </c>
      <c r="F690">
        <v>6.67572021484375E-6</v>
      </c>
      <c r="G690">
        <f>Sayfa1!F690*1000</f>
        <v>6.67572021484375E-3</v>
      </c>
    </row>
    <row r="691" spans="2:7" x14ac:dyDescent="0.3">
      <c r="B691" s="1">
        <v>0.70833333333333337</v>
      </c>
      <c r="C691">
        <v>282.98208618164063</v>
      </c>
      <c r="D691">
        <v>-0.228973388671875</v>
      </c>
      <c r="E691">
        <v>-0.6042327880859375</v>
      </c>
      <c r="F691">
        <v>3.62396240234375E-5</v>
      </c>
      <c r="G691">
        <f>Sayfa1!F691*1000</f>
        <v>3.62396240234375E-2</v>
      </c>
    </row>
    <row r="692" spans="2:7" x14ac:dyDescent="0.3">
      <c r="B692" s="1">
        <v>0.75</v>
      </c>
      <c r="C692">
        <v>283.80145263671875</v>
      </c>
      <c r="D692">
        <v>0.45855712890625</v>
      </c>
      <c r="E692">
        <v>0.314208984375</v>
      </c>
      <c r="F692">
        <v>4.76837158203125E-7</v>
      </c>
      <c r="G692">
        <f>Sayfa1!F692*1000</f>
        <v>4.76837158203125E-4</v>
      </c>
    </row>
    <row r="693" spans="2:7" x14ac:dyDescent="0.3">
      <c r="B693" s="1">
        <v>0.79166666666666663</v>
      </c>
      <c r="C693">
        <v>285.11309814453125</v>
      </c>
      <c r="D693">
        <v>0.7394256591796875</v>
      </c>
      <c r="E693">
        <v>0.61737060546875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286.07989501953125</v>
      </c>
      <c r="D694">
        <v>1.0977020263671875</v>
      </c>
      <c r="E694">
        <v>1.1051788330078125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286.8125</v>
      </c>
      <c r="D695">
        <v>1.4723663330078125</v>
      </c>
      <c r="E695">
        <v>1.46588134765625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287.03802490234375</v>
      </c>
      <c r="D696">
        <v>0.96533203125</v>
      </c>
      <c r="E696">
        <v>1.252960205078125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287.317138671875</v>
      </c>
      <c r="D697">
        <v>1.6016693115234375</v>
      </c>
      <c r="E697">
        <v>1.658538818359375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286.896240234375</v>
      </c>
      <c r="D698">
        <v>1.8171539306640625</v>
      </c>
      <c r="E698">
        <v>2.15325927734375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285.6728515625</v>
      </c>
      <c r="D699">
        <v>1.1811981201171875</v>
      </c>
      <c r="E699">
        <v>1.6206207275390625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284.5303955078125</v>
      </c>
      <c r="D700">
        <v>0.752593994140625</v>
      </c>
      <c r="E700">
        <v>1.3473968505859375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283.791259765625</v>
      </c>
      <c r="D701">
        <v>0.5610504150390625</v>
      </c>
      <c r="E701">
        <v>0.954193115234375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283.2808837890625</v>
      </c>
      <c r="D702">
        <v>0.36102294921875</v>
      </c>
      <c r="E702">
        <v>0.6282806396484375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282.9964599609375</v>
      </c>
      <c r="D703">
        <v>-6.81610107421875E-2</v>
      </c>
      <c r="E703">
        <v>0.1898193359375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282.9056396484375</v>
      </c>
      <c r="D704">
        <v>-0.6583709716796875</v>
      </c>
      <c r="E704">
        <v>-1.5716552734375E-3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282.84375</v>
      </c>
      <c r="D705">
        <v>-0.710357666015625</v>
      </c>
      <c r="E705">
        <v>-0.1562957763671875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282.76708984375</v>
      </c>
      <c r="D706">
        <v>-0.3829193115234375</v>
      </c>
      <c r="E706">
        <v>-0.32012939453125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-0.5128631591796875</v>
      </c>
      <c r="E707">
        <v>-0.3766632080078125</v>
      </c>
      <c r="F707">
        <v>0</v>
      </c>
      <c r="G707">
        <f>Sayfa1!F707*1000</f>
        <v>0</v>
      </c>
    </row>
    <row r="708" spans="2:7" x14ac:dyDescent="0.3">
      <c r="B708" s="1">
        <v>0.41666666666666669</v>
      </c>
      <c r="C708">
        <v>283.13653564453125</v>
      </c>
      <c r="D708">
        <v>-0.885406494140625</v>
      </c>
      <c r="E708">
        <v>-0.6235809326171875</v>
      </c>
      <c r="F708">
        <v>3.2901763916015625E-5</v>
      </c>
      <c r="G708">
        <f>Sayfa1!F708*1000</f>
        <v>3.2901763916015625E-2</v>
      </c>
    </row>
    <row r="709" spans="2:7" x14ac:dyDescent="0.3">
      <c r="B709" s="1">
        <v>0.45833333333333331</v>
      </c>
      <c r="C709">
        <v>283.00970458984375</v>
      </c>
      <c r="D709">
        <v>-0.7728118896484375</v>
      </c>
      <c r="E709">
        <v>-0.215667724609375</v>
      </c>
      <c r="F709">
        <v>1.621246337890625E-5</v>
      </c>
      <c r="G709">
        <f>Sayfa1!F709*1000</f>
        <v>1.621246337890625E-2</v>
      </c>
    </row>
    <row r="710" spans="2:7" x14ac:dyDescent="0.3">
      <c r="B710" s="1">
        <v>0.5</v>
      </c>
      <c r="C710">
        <v>282.60955810546875</v>
      </c>
      <c r="D710">
        <v>-0.9704437255859375</v>
      </c>
      <c r="E710">
        <v>-0.6027069091796875</v>
      </c>
      <c r="F710">
        <v>4.1484832763671875E-5</v>
      </c>
      <c r="G710">
        <f>Sayfa1!F710*1000</f>
        <v>4.1484832763671875E-2</v>
      </c>
    </row>
    <row r="711" spans="2:7" x14ac:dyDescent="0.3">
      <c r="B711" s="1">
        <v>0.54166666666666663</v>
      </c>
      <c r="C711">
        <v>282.34262084960938</v>
      </c>
      <c r="D711">
        <v>-1.0083465576171875</v>
      </c>
      <c r="E711">
        <v>-1.0776519775390625</v>
      </c>
      <c r="F711">
        <v>1.239776611328125E-5</v>
      </c>
      <c r="G711">
        <f>Sayfa1!F711*1000</f>
        <v>1.239776611328125E-2</v>
      </c>
    </row>
    <row r="712" spans="2:7" x14ac:dyDescent="0.3">
      <c r="B712" s="1">
        <v>0.58333333333333337</v>
      </c>
      <c r="C712">
        <v>282.1591796875</v>
      </c>
      <c r="D712">
        <v>-0.9360809326171875</v>
      </c>
      <c r="E712">
        <v>-1.25543212890625</v>
      </c>
      <c r="F712">
        <v>5.435943603515625E-5</v>
      </c>
      <c r="G712">
        <f>Sayfa1!F712*1000</f>
        <v>5.435943603515625E-2</v>
      </c>
    </row>
    <row r="713" spans="2:7" x14ac:dyDescent="0.3">
      <c r="B713" s="1">
        <v>0.625</v>
      </c>
      <c r="C713">
        <v>282.1094970703125</v>
      </c>
      <c r="D713">
        <v>-0.828460693359375</v>
      </c>
      <c r="E713">
        <v>-1.3022918701171875</v>
      </c>
      <c r="F713">
        <v>1.52587890625E-5</v>
      </c>
      <c r="G713">
        <f>Sayfa1!F713*1000</f>
        <v>1.52587890625E-2</v>
      </c>
    </row>
    <row r="714" spans="2:7" x14ac:dyDescent="0.3">
      <c r="B714" s="1">
        <v>0.66666666666666663</v>
      </c>
      <c r="C714">
        <v>282.08782958984375</v>
      </c>
      <c r="D714">
        <v>-0.290130615234375</v>
      </c>
      <c r="E714">
        <v>-0.8960113525390625</v>
      </c>
      <c r="F714">
        <v>3.147125244140625E-5</v>
      </c>
      <c r="G714">
        <f>Sayfa1!F714*1000</f>
        <v>3.147125244140625E-2</v>
      </c>
    </row>
    <row r="715" spans="2:7" x14ac:dyDescent="0.3">
      <c r="B715" s="1">
        <v>0.70833333333333337</v>
      </c>
      <c r="C715">
        <v>282.06500244140625</v>
      </c>
      <c r="D715">
        <v>-0.1329193115234375</v>
      </c>
      <c r="E715">
        <v>9.8419189453125E-3</v>
      </c>
      <c r="F715">
        <v>1.6689300537109375E-5</v>
      </c>
      <c r="G715">
        <f>Sayfa1!F715*1000</f>
        <v>1.6689300537109375E-2</v>
      </c>
    </row>
    <row r="716" spans="2:7" x14ac:dyDescent="0.3">
      <c r="B716" s="1">
        <v>0.75</v>
      </c>
      <c r="C716">
        <v>282.97235107421875</v>
      </c>
      <c r="D716">
        <v>0.369720458984375</v>
      </c>
      <c r="E716">
        <v>0.9390411376953125</v>
      </c>
      <c r="F716">
        <v>5.7220458984375E-6</v>
      </c>
      <c r="G716">
        <f>Sayfa1!F716*1000</f>
        <v>5.7220458984375E-3</v>
      </c>
    </row>
    <row r="717" spans="2:7" x14ac:dyDescent="0.3">
      <c r="B717" s="1">
        <v>0.79166666666666663</v>
      </c>
      <c r="C717">
        <v>283.740234375</v>
      </c>
      <c r="D717">
        <v>0.661407470703125</v>
      </c>
      <c r="E717">
        <v>1.070831298828125</v>
      </c>
      <c r="F717">
        <v>2.6702880859375E-5</v>
      </c>
      <c r="G717">
        <f>Sayfa1!F717*1000</f>
        <v>2.6702880859375E-2</v>
      </c>
    </row>
    <row r="718" spans="2:7" x14ac:dyDescent="0.3">
      <c r="B718" s="1">
        <v>0.83333333333333337</v>
      </c>
      <c r="C718">
        <v>284.444580078125</v>
      </c>
      <c r="D718">
        <v>0.8390045166015625</v>
      </c>
      <c r="E718">
        <v>1.17626953125</v>
      </c>
      <c r="F718">
        <v>4.76837158203125E-6</v>
      </c>
      <c r="G718">
        <f>Sayfa1!F718*1000</f>
        <v>4.76837158203125E-3</v>
      </c>
    </row>
    <row r="719" spans="2:7" x14ac:dyDescent="0.3">
      <c r="B719" s="1">
        <v>0.875</v>
      </c>
      <c r="C719">
        <v>285.060302734375</v>
      </c>
      <c r="D719">
        <v>0.9876251220703125</v>
      </c>
      <c r="E719">
        <v>1.369110107421875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285.253662109375</v>
      </c>
      <c r="D720">
        <v>0.5677947998046875</v>
      </c>
      <c r="E720">
        <v>0.5593109130859375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286.054931640625</v>
      </c>
      <c r="D721">
        <v>0.5946044921875</v>
      </c>
      <c r="E721">
        <v>1.04681396484375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286.1937255859375</v>
      </c>
      <c r="D722">
        <v>0.68389892578125</v>
      </c>
      <c r="E722">
        <v>1.48687744140625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285.6441650390625</v>
      </c>
      <c r="D723">
        <v>0.560943603515625</v>
      </c>
      <c r="E723">
        <v>1.28125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284.913818359375</v>
      </c>
      <c r="D724">
        <v>0.420013427734375</v>
      </c>
      <c r="E724">
        <v>1.130950927734375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284.3087158203125</v>
      </c>
      <c r="D725">
        <v>0.6271209716796875</v>
      </c>
      <c r="E725">
        <v>0.824676513671875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283.6339111328125</v>
      </c>
      <c r="D726">
        <v>1.18231201171875</v>
      </c>
      <c r="E726">
        <v>0.370574951171875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283.0640869140625</v>
      </c>
      <c r="D727">
        <v>0.8974609375</v>
      </c>
      <c r="E727">
        <v>-0.3041839599609375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282.8863525390625</v>
      </c>
      <c r="D728">
        <v>4.12445068359375E-2</v>
      </c>
      <c r="E728">
        <v>-0.9564056396484375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282.954833984375</v>
      </c>
      <c r="D729">
        <v>-0.431365966796875</v>
      </c>
      <c r="E729">
        <v>-1.311279296875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283.099365234375</v>
      </c>
      <c r="D730">
        <v>-0.45587158203125</v>
      </c>
      <c r="E730">
        <v>-1.5465545654296875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283.191650390625</v>
      </c>
      <c r="D731">
        <v>-0.9674530029296875</v>
      </c>
      <c r="E731">
        <v>-1.6405792236328125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282.792236328125</v>
      </c>
      <c r="D732">
        <v>-0.7484588623046875</v>
      </c>
      <c r="E732">
        <v>-1.7317962646484375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283.3629150390625</v>
      </c>
      <c r="D733">
        <v>-0.6055145263671875</v>
      </c>
      <c r="E733">
        <v>-1.7764892578125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283.7781982421875</v>
      </c>
      <c r="D734">
        <v>-1.01348876953125</v>
      </c>
      <c r="E734">
        <v>-1.7716217041015625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284.0941162109375</v>
      </c>
      <c r="D735">
        <v>-1.0979766845703125</v>
      </c>
      <c r="E735">
        <v>-1.710418701171875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283.78369140625</v>
      </c>
      <c r="D736">
        <v>-0.97308349609375</v>
      </c>
      <c r="E736">
        <v>-1.750244140625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283.49853515625</v>
      </c>
      <c r="D737">
        <v>-1.0961151123046875</v>
      </c>
      <c r="E737">
        <v>-1.7105560302734375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283.69287109375</v>
      </c>
      <c r="D738">
        <v>-0.40521240234375</v>
      </c>
      <c r="E738">
        <v>-1.229248046875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284.2354736328125</v>
      </c>
      <c r="D739">
        <v>-0.33734130859375</v>
      </c>
      <c r="E739">
        <v>-0.7100677490234375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285.4801025390625</v>
      </c>
      <c r="D740">
        <v>0.4416046142578125</v>
      </c>
      <c r="E740">
        <v>-0.2655029296875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287.403564453125</v>
      </c>
      <c r="D741">
        <v>0.43145751953125</v>
      </c>
      <c r="E741">
        <v>0.1666107177734375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288.69189453125</v>
      </c>
      <c r="D742">
        <v>0.70916748046875</v>
      </c>
      <c r="E742">
        <v>0.994659423828125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289.275390625</v>
      </c>
      <c r="D743">
        <v>1.29364013671875</v>
      </c>
      <c r="E743">
        <v>1.323760986328125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289.387939453125</v>
      </c>
      <c r="D744">
        <v>-0.149749755859375</v>
      </c>
      <c r="E744">
        <v>1.3586273193359375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289.63037109375</v>
      </c>
      <c r="D745">
        <v>0.7922210693359375</v>
      </c>
      <c r="E745">
        <v>1.62957763671875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2025-05-01T20:16:23Z</dcterms:modified>
</cp:coreProperties>
</file>